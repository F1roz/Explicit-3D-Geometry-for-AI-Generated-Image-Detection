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 Review" sheetId="1" state="visible" r:id="rId3"/>
    <sheet name="Summary" sheetId="2" state="visible" r:id="rId4"/>
    <sheet name="Notes" sheetId="3" state="visible" r:id="rId5"/>
  </sheets>
  <definedNames>
    <definedName function="false" hidden="true" localSheetId="0" name="_xlnm._FilterDatabase" vbProcedure="false">'Paper Review'!$A$1:$O$101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<sst xmlns="http://schemas.openxmlformats.org/spreadsheetml/2006/main" count="1346" uniqueCount="1137">
  <si>
    <t xml:space="preserve">No.</t>
  </si>
  <si>
    <t xml:space="preserve">Title</t>
  </si>
  <si>
    <t xml:space="preserve">Authors</t>
  </si>
  <si>
    <t xml:space="preserve">Year</t>
  </si>
  <si>
    <t xml:space="preserve">Venue</t>
  </si>
  <si>
    <t xml:space="preserve">Link</t>
  </si>
  <si>
    <t xml:space="preserve">Theme</t>
  </si>
  <si>
    <t xml:space="preserve">Category</t>
  </si>
  <si>
    <t xml:space="preserve">Dataset(s)</t>
  </si>
  <si>
    <t xml:space="preserve">Detection Strategy</t>
  </si>
  <si>
    <t xml:space="preserve">Literature Review (positioning)</t>
  </si>
  <si>
    <t xml:space="preserve">Result (as reported by authors)</t>
  </si>
  <si>
    <t xml:space="preserve">Future Work</t>
  </si>
  <si>
    <t xml:space="preserve">Weakness</t>
  </si>
  <si>
    <t xml:space="preserve">How We Use It in the Proposal</t>
  </si>
  <si>
    <t xml:space="preserve">CNN-Generated Images Are Surprisingly Easy to Spot... For Now</t>
  </si>
  <si>
    <t xml:space="preserve">S.-Y. Wang, O. Wang, R. Zhang, A. Owens, A. A. Efros</t>
  </si>
  <si>
    <t xml:space="preserve">CVPR 2020</t>
  </si>
  <si>
    <t xml:space="preserve">https://arxiv.org/abs/1912.11035</t>
  </si>
  <si>
    <t xml:space="preserve">Low-level artifact &amp; frequency</t>
  </si>
  <si>
    <t xml:space="preserve">Artifact / CNN baseline</t>
  </si>
  <si>
    <t xml:space="preserve">ForenSynths: ProGAN (20 LSUN classes, 720k imgs) for training; 11 CNN generators for testing (StyleGAN, BigGAN, CycleGAN, StarGAN, GauGAN, CRN, IMLE, SITD, SAN, Deepfake, StyleGAN2)</t>
  </si>
  <si>
    <t xml:space="preserve">ResNet-50 binary classifier trained on a single GAN (ProGAN) with Gaussian-blur + JPEG augmentation to force reliance on generator-agnostic upsampling artifacts.</t>
  </si>
  <si>
    <t xml:space="preserve">Built on GAN-fingerprint work (Marra 2019, Yu 2019); first to show one-generator training can transfer across CNN generators.</t>
  </si>
  <si>
    <t xml:space="preserve">High average precision on most unseen GANs; blur/JPEG augmentation was key to robustness and cross-GAN transfer.</t>
  </si>
  <si>
    <t xml:space="preserve">Authors flag 'for now': predicts detection will get harder as generators improve; suggests studying newer architectures.</t>
  </si>
  <si>
    <t xml:space="preserve">Fails badly on diffusion and autoregressive models (later shown by Ojha 2023, Corvi 2023); relies on low-level traces easily destroyed by resizing.</t>
  </si>
  <si>
    <t xml:space="preserve">Standard baseline + ProGAN-4class training protocol (UniversalFakeDetect) used in our Protocol P1.</t>
  </si>
  <si>
    <t xml:space="preserve">Leveraging Frequency Analysis for Deep Fake Image Recognition</t>
  </si>
  <si>
    <t xml:space="preserve">J. Frank, T. Eisenhofer, L. Schönherr, A. Fischer, D. Kolossa, T. Holz</t>
  </si>
  <si>
    <t xml:space="preserve">ICML 2020</t>
  </si>
  <si>
    <t xml:space="preserve">https://arxiv.org/abs/2003.08685</t>
  </si>
  <si>
    <t xml:space="preserve">Frequency</t>
  </si>
  <si>
    <t xml:space="preserve">FFHQ/StyleGAN, LSUN bedrooms with ProGAN, SN-DCGAN, CramerGAN, MMDGAN</t>
  </si>
  <si>
    <t xml:space="preserve">2D-DCT log spectrum as input to simple linear / CNN classifiers; shows upsampling produces grid artifacts in frequency space.</t>
  </si>
  <si>
    <t xml:space="preserve">Extends spectral analyses of GANs (Zhang 2019, Durall 2020) with a systematic DCT study.</t>
  </si>
  <si>
    <t xml:space="preserve">Near-perfect accuracy on GAN images with very simple classifiers in DCT domain; artifacts persist across architectures.</t>
  </si>
  <si>
    <t xml:space="preserve">Study defences against spectrum-matching generators.</t>
  </si>
  <si>
    <t xml:space="preserve">GAN-only; spectral cues are fragile to JPEG/resizing and diminished in diffusion outputs.</t>
  </si>
  <si>
    <t xml:space="preserve">Motivates frequency (DCT/FFT) features of Expert E1.</t>
  </si>
  <si>
    <t xml:space="preserve">Watch your Up-Convolution: CNN Based Generative Deep Neural Networks are Failing to Reproduce Spectral Distributions</t>
  </si>
  <si>
    <t xml:space="preserve">R. Durall, M. Keuper, J. Keuper</t>
  </si>
  <si>
    <t xml:space="preserve">https://arxiv.org/abs/2003.01826</t>
  </si>
  <si>
    <t xml:space="preserve">FaceForensics++, CelebA, Faces-HQ (StyleGAN/PGGAN faces)</t>
  </si>
  <si>
    <t xml:space="preserve">Azimuthally-averaged 1D power spectrum as feature; spectral regularisation term proposed for generators.</t>
  </si>
  <si>
    <t xml:space="preserve">Theoretical link between transposed convolution and high-frequency spectral distortions.</t>
  </si>
  <si>
    <t xml:space="preserve">Very high detection accuracy with simple 1D spectral features on face GAN data.</t>
  </si>
  <si>
    <t xml:space="preserve">Spectral-regularised generators; detection of next-gen generators.</t>
  </si>
  <si>
    <t xml:space="preserve">Easily evaded by spectral-loss training; GAN-face focused.</t>
  </si>
  <si>
    <t xml:space="preserve">Azimuthal power spectrum P(r) used as hand-crafted feature in E1.</t>
  </si>
  <si>
    <t xml:space="preserve">Detecting and Simulating Artifacts in GAN Fake Images (AutoGAN)</t>
  </si>
  <si>
    <t xml:space="preserve">X. Zhang, S. Karaman, S.-F. Chang</t>
  </si>
  <si>
    <t xml:space="preserve">IEEE WIFS 2019</t>
  </si>
  <si>
    <t xml:space="preserve">https://arxiv.org/abs/1907.06515</t>
  </si>
  <si>
    <t xml:space="preserve">Frequency / simulation</t>
  </si>
  <si>
    <t xml:space="preserve">CycleGAN image-to-image translations (multiple categories)</t>
  </si>
  <si>
    <t xml:space="preserve">AutoGAN simulator reproduces up-sampling artifacts without access to the target GAN; spectrum-based classifier.</t>
  </si>
  <si>
    <t xml:space="preserve">Early analysis of checkerboard artifacts from upsampling.</t>
  </si>
  <si>
    <t xml:space="preserve">Spectrum-input classifier generalised well across unseen CycleGAN categories.</t>
  </si>
  <si>
    <t xml:space="preserve">Use simulators to generate training data cheaply.</t>
  </si>
  <si>
    <t xml:space="preserve">Image-to-image GANs only; simulator does not cover diffusion pipelines.</t>
  </si>
  <si>
    <t xml:space="preserve">Idea of artefact simulation echoed by our VAE-reconstruction alignment (no new data collection needed).</t>
  </si>
  <si>
    <t xml:space="preserve">Do GANs Leave Artificial Fingerprints?</t>
  </si>
  <si>
    <t xml:space="preserve">F. Marra, D. Gragnaniello, L. Verdoliva, G. Poggi</t>
  </si>
  <si>
    <t xml:space="preserve">IEEE MIPR 2019</t>
  </si>
  <si>
    <t xml:space="preserve">https://arxiv.org/abs/1812.11842</t>
  </si>
  <si>
    <t xml:space="preserve">Fingerprint / attribution</t>
  </si>
  <si>
    <t xml:space="preserve">CycleGAN, ProGAN images and real camera images</t>
  </si>
  <si>
    <t xml:space="preserve">Noise residuals (denoiser-based) averaged to obtain GAN-specific fingerprints, analogous to PRNU in cameras.</t>
  </si>
  <si>
    <t xml:space="preserve">Transfers camera forensics (PRNU) to generators.</t>
  </si>
  <si>
    <t xml:space="preserve">Shows each GAN leaves a stable fingerprint that allows source attribution.</t>
  </si>
  <si>
    <t xml:space="preserve">Fingerprints for more architectures; robustness studies.</t>
  </si>
  <si>
    <t xml:space="preserve">Requires many samples per generator; fingerprints weaken under compression.</t>
  </si>
  <si>
    <t xml:space="preserve">Noise-residual idea used in E1 (SRM/denoiser residual stream).</t>
  </si>
  <si>
    <t xml:space="preserve">What Makes Fake Images Detectable? Understanding Properties that Generalize</t>
  </si>
  <si>
    <t xml:space="preserve">L. Chai, D. Bau, S.-N. Lim, P. Isola</t>
  </si>
  <si>
    <t xml:space="preserve">ECCV 2020</t>
  </si>
  <si>
    <t xml:space="preserve">https://arxiv.org/abs/2008.10588</t>
  </si>
  <si>
    <t xml:space="preserve">Patch-level artifact</t>
  </si>
  <si>
    <t xml:space="preserve">CelebA-HQ / FFHQ faces from PGAN, SGAN, Glow, GMM</t>
  </si>
  <si>
    <t xml:space="preserve">Truncated ResNet/Xception with limited receptive field classifies local patches; heatmaps show where artifacts are.</t>
  </si>
  <si>
    <t xml:space="preserve">Questions global classifiers; argues local texture generalises better.</t>
  </si>
  <si>
    <t xml:space="preserve">Patch classifiers generalise better than full-image classifiers; hair and background regions most informative.</t>
  </si>
  <si>
    <t xml:space="preserve">Adversarially generated fakes that remove local artifacts.</t>
  </si>
  <si>
    <t xml:space="preserve">Face-only; generator fine-tuned against the detector evades it.</t>
  </si>
  <si>
    <t xml:space="preserve">Patch-level native-resolution cropping and patch voting in E1.</t>
  </si>
  <si>
    <t xml:space="preserve">Are GAN Generated Images Easy to Detect? A Critical Analysis of the State-of-the-Art</t>
  </si>
  <si>
    <t xml:space="preserve">D. Gragnaniello, D. Cozzolino, F. Marra, G. Poggi, L. Verdoliva</t>
  </si>
  <si>
    <t xml:space="preserve">ICME 2021</t>
  </si>
  <si>
    <t xml:space="preserve">https://arxiv.org/abs/2104.02617</t>
  </si>
  <si>
    <t xml:space="preserve">Artifact / analysis</t>
  </si>
  <si>
    <t xml:space="preserve">ForenSynths + StyleGAN2 and others</t>
  </si>
  <si>
    <t xml:space="preserve">Modified ResNet-50 without early down-sampling to preserve high-frequency traces; studies training choices.</t>
  </si>
  <si>
    <t xml:space="preserve">Critical re-examination of CNNSpot.</t>
  </si>
  <si>
    <t xml:space="preserve">Avoiding down-sampling in the first layer significantly improves generalisation and robustness.</t>
  </si>
  <si>
    <t xml:space="preserve">Evaluate on newer generators.</t>
  </si>
  <si>
    <t xml:space="preserve">Still GAN focused; compute heavier due to no down-sampling.</t>
  </si>
  <si>
    <t xml:space="preserve">Supports keeping full-resolution early layers in E1.</t>
  </si>
  <si>
    <t xml:space="preserve">Detecting Generated Images by Real Images (LNP)</t>
  </si>
  <si>
    <t xml:space="preserve">B. Liu, F. Yang, X. Bi, B. Xiao, W. Li, X. Gao</t>
  </si>
  <si>
    <t xml:space="preserve">ECCV 2022</t>
  </si>
  <si>
    <t xml:space="preserve">https://scholar.google.com/scholar?q=Detecting+Generated+Images+by+Real+Images+ECCV+2022</t>
  </si>
  <si>
    <t xml:space="preserve">Noise residual</t>
  </si>
  <si>
    <t xml:space="preserve">Multiple GAN and some DM sets; trained largely on real images</t>
  </si>
  <si>
    <t xml:space="preserve">Learned Noise Patterns (LNP) from a denoising network; real images share consistent noise patterns, generated ones deviate (one-class flavour).</t>
  </si>
  <si>
    <t xml:space="preserve">Camera-noise forensics applied to synthesis.</t>
  </si>
  <si>
    <t xml:space="preserve">Good generalisation including to unseen generators with mostly real data training.</t>
  </si>
  <si>
    <t xml:space="preserve">Robustness to compression.</t>
  </si>
  <si>
    <t xml:space="preserve">Noise traces destroyed by heavy JPEG/resizing.</t>
  </si>
  <si>
    <t xml:space="preserve">Supports 'model the real distribution' idea (Stay-Positive, one-class regulariser).</t>
  </si>
  <si>
    <t xml:space="preserve">Learning on Gradients: Generalized Artifacts Representation for GAN-Generated Images Detection (LGrad)</t>
  </si>
  <si>
    <t xml:space="preserve">C. Tan, Y. Zhao, S. Wei, G. Gu, Y. Wei</t>
  </si>
  <si>
    <t xml:space="preserve">CVPR 2023</t>
  </si>
  <si>
    <t xml:space="preserve">https://scholar.google.com/scholar?q=Learning+on+Gradients+Generalized+Artifacts+Representation+GAN-Generated+Images+Detection</t>
  </si>
  <si>
    <t xml:space="preserve">Artifact representation</t>
  </si>
  <si>
    <t xml:space="preserve">ForenSynths ProGAN train; multiple GANs test</t>
  </si>
  <si>
    <t xml:space="preserve">Uses gradients of a pretrained CNN w.r.t. the input as a generalised artifact representation, then classifies gradient maps.</t>
  </si>
  <si>
    <t xml:space="preserve">Moves from raw pixels to model-gradient features.</t>
  </si>
  <si>
    <t xml:space="preserve">Clear accuracy gains over CNNSpot on unseen GANs.</t>
  </si>
  <si>
    <t xml:space="preserve">Diffusion generalisation.</t>
  </si>
  <si>
    <t xml:space="preserve">Depends on choice of pretrained transformation model; weaker on diffusion.</t>
  </si>
  <si>
    <t xml:space="preserve">Candidate alternative low-level representation in E1 ablation.</t>
  </si>
  <si>
    <t xml:space="preserve">Rethinking the Up-Sampling Operations in CNN-based Generative Network for Generalizable Deepfake Detection (NPR)</t>
  </si>
  <si>
    <t xml:space="preserve">C. Tan, H. Liu, Y. Zhao, S. Wei, G. Gu, P. Liu, Y. Wei</t>
  </si>
  <si>
    <t xml:space="preserve">CVPR 2024</t>
  </si>
  <si>
    <t xml:space="preserve">https://arxiv.org/abs/2312.10461</t>
  </si>
  <si>
    <t xml:space="preserve">ProGAN-4class train; tested on ~28 GAN/DM generators (ForenSynths, UFD, GenImage, DiffusionForensics)</t>
  </si>
  <si>
    <t xml:space="preserve">Neighbouring Pixel Relationships: residual between image and its nearest-neighbour down/up-sampled version exposes local up-sampling correlations.</t>
  </si>
  <si>
    <t xml:space="preserve">Generalises frequency artifact work to a simple spatial operator.</t>
  </si>
  <si>
    <t xml:space="preserve">Reported ~12-point average accuracy gain over prior SOTA across many unseen generators with a light ResNet.</t>
  </si>
  <si>
    <t xml:space="preserve">Theory of up-sampling across architectures.</t>
  </si>
  <si>
    <t xml:space="preserve">Sensitive to JPEG and resizing; recent work shows drops in the wild (AIGIBench, Chameleon).</t>
  </si>
  <si>
    <t xml:space="preserve">NPR residual is one input stream of E1.</t>
  </si>
  <si>
    <t xml:space="preserve">Frequency-Aware Deepfake Detection: Improving Generalizability through Frequency Space Learning (FreqNet)</t>
  </si>
  <si>
    <t xml:space="preserve">C. Tan, Y. Zhao, S. Wei, G. Gu, P. Liu, Y. Wei</t>
  </si>
  <si>
    <t xml:space="preserve">AAAI 2024</t>
  </si>
  <si>
    <t xml:space="preserve">https://arxiv.org/abs/2403.07240</t>
  </si>
  <si>
    <t xml:space="preserve">ProGAN-4class train; 17 GANs/DMs test</t>
  </si>
  <si>
    <t xml:space="preserve">Frequency-space learning: high-frequency representation + convolution in phase/amplitude spectra inside a lightweight CNN.</t>
  </si>
  <si>
    <t xml:space="preserve">Prior frequency detectors used fixed spectra; FreqNet learns in frequency space.</t>
  </si>
  <si>
    <t xml:space="preserve">Better generalisation than NPR's predecessors with ~1.9M parameters.</t>
  </si>
  <si>
    <t xml:space="preserve">Combine with semantic cues.</t>
  </si>
  <si>
    <t xml:space="preserve">Frequency cues fragile under laundering.</t>
  </si>
  <si>
    <t xml:space="preserve">Inspires learnable spectral convolution in E1.</t>
  </si>
  <si>
    <t xml:space="preserve">PatchCraft: Exploring Texture Patch for Efficient AI-generated Image Detection</t>
  </si>
  <si>
    <t xml:space="preserve">N. Zhong, Y. Xu, S. Li, Z. Qian, X. Zhang</t>
  </si>
  <si>
    <t xml:space="preserve">arXiv 2023</t>
  </si>
  <si>
    <t xml:space="preserve">https://arxiv.org/abs/2311.12397</t>
  </si>
  <si>
    <t xml:space="preserve">Texture contrast</t>
  </si>
  <si>
    <t xml:space="preserve">Large self-built benchmark of 16 generators (GAN + DM + commercial)</t>
  </si>
  <si>
    <t xml:space="preserve">Smash &amp; Reconstruction: rich- vs poor-texture patches; inter-pixel correlation contrast between them via high-pass filters.</t>
  </si>
  <si>
    <t xml:space="preserve">Argues semantic content biases detectors.</t>
  </si>
  <si>
    <t xml:space="preserve">Strong cross-generator accuracy on its benchmark.</t>
  </si>
  <si>
    <t xml:space="preserve">Patch selection heuristic; degraded by JPEG/resize.</t>
  </si>
  <si>
    <t xml:space="preserve">Rich/poor texture patch sampling used in our crop strategy.</t>
  </si>
  <si>
    <t xml:space="preserve">On the Detection of Synthetic Images Generated by Diffusion Models</t>
  </si>
  <si>
    <t xml:space="preserve">R. Corvi, D. Cozzolino, G. Zingarini, G. Poggi, K. Nagano, L. Verdoliva</t>
  </si>
  <si>
    <t xml:space="preserve">ICASSP 2023</t>
  </si>
  <si>
    <t xml:space="preserve">https://arxiv.org/abs/2211.00680</t>
  </si>
  <si>
    <t xml:space="preserve">Diffusion analysis</t>
  </si>
  <si>
    <t xml:space="preserve">Real: COCO, ImageNet, UCID; Fake: GLIDE, LDM, SD, DALL·E-mini, DALL·E 2, ADM + GANs</t>
  </si>
  <si>
    <t xml:space="preserve">Evaluates GAN-trained detectors on DMs; studies spectral fingerprints of DMs; trains detectors on LDM data.</t>
  </si>
  <si>
    <t xml:space="preserve">Extends CNNSpot/Gragnaniello to diffusion.</t>
  </si>
  <si>
    <t xml:space="preserve">GAN-trained detectors generalise poorly to DMs; DM-trained detectors work better but degrade on compressed social media images.</t>
  </si>
  <si>
    <t xml:space="preserve">Robustness to compression and new DMs.</t>
  </si>
  <si>
    <t xml:space="preserve">Limited generator set (2022); performance falls under resizing/compression.</t>
  </si>
  <si>
    <t xml:space="preserve">Motivates training on diffusion data and compression-aware evaluation.</t>
  </si>
  <si>
    <t xml:space="preserve">Intriguing Properties of Synthetic Images: from Generative Adversarial Networks to Diffusion Models</t>
  </si>
  <si>
    <t xml:space="preserve">R. Corvi, D. Cozzolino, G. Poggi, K. Nagano, L. Verdoliva</t>
  </si>
  <si>
    <t xml:space="preserve">CVPR Workshops 2023</t>
  </si>
  <si>
    <t xml:space="preserve">https://arxiv.org/abs/2304.06408</t>
  </si>
  <si>
    <t xml:space="preserve">Many GANs and DMs vs. real datasets</t>
  </si>
  <si>
    <t xml:space="preserve">Forensic analysis: power spectra, autocorrelation of noise residuals, radial/angular spectra.</t>
  </si>
  <si>
    <t xml:space="preserve">Systematic fingerprint study across families.</t>
  </si>
  <si>
    <t xml:space="preserve">DM images show distinct mid/high-frequency peaks and reduced high-frequency energy; mismatch in radial spectra.</t>
  </si>
  <si>
    <t xml:space="preserve">Exploit traces for attribution.</t>
  </si>
  <si>
    <t xml:space="preserve">Analysis paper — no strong detector; traces fragile.</t>
  </si>
  <si>
    <t xml:space="preserve">Spectral statistics (radial &amp; angular spectra) in E1 hand-crafted feature set.</t>
  </si>
  <si>
    <t xml:space="preserve">Towards the Detection of Diffusion Model Deepfakes</t>
  </si>
  <si>
    <t xml:space="preserve">J. Ricker, S. Damm, T. Holz, A. Fischer</t>
  </si>
  <si>
    <t xml:space="preserve">VISAPP 2024</t>
  </si>
  <si>
    <t xml:space="preserve">https://arxiv.org/abs/2210.14571</t>
  </si>
  <si>
    <t xml:space="preserve">LSUN Bedroom: 5 GANs + 5 DMs (DDPM, IDDPM, ADM, PNDM, LDM)</t>
  </si>
  <si>
    <t xml:space="preserve">Frequency analysis + retraining detectors on DM images; evaluates GAN→DM transfer.</t>
  </si>
  <si>
    <t xml:space="preserve">First systematic DM-deepfake detection study.</t>
  </si>
  <si>
    <t xml:space="preserve">GAN-trained detectors fail on DMs; DMs have fewer spectral artifacts; retraining recovers performance.</t>
  </si>
  <si>
    <t xml:space="preserve">Detection of text-to-image DMs.</t>
  </si>
  <si>
    <t xml:space="preserve">Single domain (bedrooms).</t>
  </si>
  <si>
    <t xml:space="preserve">Evidence that frequency-only detection is insufficient → multi-expert design.</t>
  </si>
  <si>
    <t xml:space="preserve">Fake or JPEG? Revealing Common Biases in Generated Image Detection Datasets</t>
  </si>
  <si>
    <t xml:space="preserve">P. Grommelt, L. Weiss, F.-J. Pfreundt, J. Keuper</t>
  </si>
  <si>
    <t xml:space="preserve">arXiv / ICPR-W 2024</t>
  </si>
  <si>
    <t xml:space="preserve">https://arxiv.org/abs/2403.17608</t>
  </si>
  <si>
    <t xml:space="preserve">Datasets &amp; benchmarks</t>
  </si>
  <si>
    <t xml:space="preserve">Dataset bias</t>
  </si>
  <si>
    <t xml:space="preserve">GenImage</t>
  </si>
  <si>
    <t xml:space="preserve">Shows real ImageNet images are JPEG while fakes are PNG, and sizes differ; detectors learn compression/size shortcuts. Proposes removing bias by matching JPEG and size.</t>
  </si>
  <si>
    <t xml:space="preserve">Critique of GenImage benchmark design.</t>
  </si>
  <si>
    <t xml:space="preserve">Debiasing (JPEG-compress fakes, size-match) changes cross-generator results substantially and improves robustness.</t>
  </si>
  <si>
    <t xml:space="preserve">Bias-free benchmarks.</t>
  </si>
  <si>
    <t xml:space="preserve">Focused on one dataset.</t>
  </si>
  <si>
    <t xml:space="preserve">Core to our data-processing: format/size harmonisation of all datasets.</t>
  </si>
  <si>
    <t xml:space="preserve">A Single Simple Patch is All You Need for AI-generated Image Detection (SSP)</t>
  </si>
  <si>
    <t xml:space="preserve">J. Chen, J. Yao, L. Niu</t>
  </si>
  <si>
    <t xml:space="preserve">arXiv 2024</t>
  </si>
  <si>
    <t xml:space="preserve">https://arxiv.org/abs/2402.01123</t>
  </si>
  <si>
    <t xml:space="preserve">Selects the simplest (lowest-texture) patch and classifies its noise pattern with SRM filters + ResNet.</t>
  </si>
  <si>
    <t xml:space="preserve">Follows PatchCraft-style texture reasoning.</t>
  </si>
  <si>
    <t xml:space="preserve">Strong GenImage cross-generator accuracy with a tiny input.</t>
  </si>
  <si>
    <t xml:space="preserve">Robustness enhancement module.</t>
  </si>
  <si>
    <t xml:space="preserve">Single patch can miss global/semantic inconsistencies; fragile to compression.</t>
  </si>
  <si>
    <t xml:space="preserve">Simple-patch selection used as one crop policy in E1.</t>
  </si>
  <si>
    <t xml:space="preserve">Improving Synthetic Image Detection Towards Generalization: An Image Transformation Perspective (SAFE)</t>
  </si>
  <si>
    <t xml:space="preserve">O. Li, J. Cai, Y. Hao, X. Jiang, Y. Hu, F. Feng</t>
  </si>
  <si>
    <t xml:space="preserve">KDD 2025</t>
  </si>
  <si>
    <t xml:space="preserve">https://arxiv.org/abs/2408.06741</t>
  </si>
  <si>
    <t xml:space="preserve">Pre-processing / augmentation</t>
  </si>
  <si>
    <t xml:space="preserve">ProGAN train (UFD protocol); 26+ generators incl. GenImage, DiffusionForensics, Ojha</t>
  </si>
  <si>
    <t xml:space="preserve">Replaces resizing with crop (keeps artifacts), adds ColorJitter &amp; RandomRotation, patch-based random masking, DWT high-frequency input to a lightweight ResNet.</t>
  </si>
  <si>
    <t xml:space="preserve">Identifies training biases (down-sampling, weak augmentation) in prior detectors.</t>
  </si>
  <si>
    <t xml:space="preserve">Reported ~4–5 pt average accuracy gain over prior SOTA with a very small model.</t>
  </si>
  <si>
    <t xml:space="preserve">Better theory of artifact preservation.</t>
  </si>
  <si>
    <t xml:space="preserve">Still a low-level detector; weaker on heavily laundered images.</t>
  </si>
  <si>
    <t xml:space="preserve">Adopted: crop-not-resize, DWT input, masking augmentation.</t>
  </si>
  <si>
    <t xml:space="preserve">Any-Resolution AI-Generated Image Detection by Spectral Learning (SPAI)</t>
  </si>
  <si>
    <t xml:space="preserve">D. Karageorgiou, S. Papadopoulos, I. Kompatsiaris, E. Gavves</t>
  </si>
  <si>
    <t xml:space="preserve">CVPR 2025</t>
  </si>
  <si>
    <t xml:space="preserve">https://arxiv.org/abs/2411.19417</t>
  </si>
  <si>
    <t xml:space="preserve">Frequency / self-supervised</t>
  </si>
  <si>
    <t xml:space="preserve">Trained on real images (+ LDM fakes); tested on 13 recent generators</t>
  </si>
  <si>
    <t xml:space="preserve">Masked spectral learning: learn the spectral distribution of real images self-supervised; spectral reconstruction similarity + spectral context attention handles arbitrary resolution.</t>
  </si>
  <si>
    <t xml:space="preserve">Treats detection as out-of-distribution w.r.t. real spectra.</t>
  </si>
  <si>
    <t xml:space="preserve">Reported ~5.5% absolute AUC improvement over prior SOTA; robust to common online perturbations; any-resolution inference.</t>
  </si>
  <si>
    <t xml:space="preserve">Extend to localisation.</t>
  </si>
  <si>
    <t xml:space="preserve">Spectral reconstruction cost at high resolution; heavy compression still hurts.</t>
  </si>
  <si>
    <t xml:space="preserve">Spectral reconstruction similarity feature and any-resolution aggregation in E1.</t>
  </si>
  <si>
    <t xml:space="preserve">A Sanity Check for AI-generated Image Detection (AIDE + Chameleon)</t>
  </si>
  <si>
    <t xml:space="preserve">S. Yan, O. Li, J. Cai, Y. Hao, X. Jiang, Y. Hu, W. Xie</t>
  </si>
  <si>
    <t xml:space="preserve">ICLR 2025</t>
  </si>
  <si>
    <t xml:space="preserve">https://arxiv.org/abs/2406.19435</t>
  </si>
  <si>
    <t xml:space="preserve">Hybrid (low-level + semantic) / benchmark</t>
  </si>
  <si>
    <t xml:space="preserve">New Chameleon dataset (real-world AI images that fooled humans); AIGCDetectBenchmark; GenImage</t>
  </si>
  <si>
    <t xml:space="preserve">AIDE: mixture of experts — DCT-selected high/low-frequency patches via SRM-ResNet + CLIP ConvNeXt semantic embedding, fused.</t>
  </si>
  <si>
    <t xml:space="preserve">Shows prior detectors collapse on realistic in-the-wild AI images.</t>
  </si>
  <si>
    <t xml:space="preserve">Prior SOTA detectors near chance on Chameleon; AIDE improves notably but Chameleon remains far from solved.</t>
  </si>
  <si>
    <t xml:space="preserve">Harder, more realistic training data.</t>
  </si>
  <si>
    <t xml:space="preserve">Moderate absolute accuracy on Chameleon; still sensitive to resolution handling.</t>
  </si>
  <si>
    <t xml:space="preserve">Chameleon is a key in-the-wild test set; hybrid fusion validates our multi-expert design.</t>
  </si>
  <si>
    <t xml:space="preserve">Breaking Semantic Artifacts for Generalized AI-generated Image Detection</t>
  </si>
  <si>
    <t xml:space="preserve">C. Zheng, C. Lin, Z. Zhao, H. Wang, X. Guo, S. Liu, C. Shen</t>
  </si>
  <si>
    <t xml:space="preserve">NeurIPS 2024</t>
  </si>
  <si>
    <t xml:space="preserve">https://scholar.google.com/scholar?q=Breaking+Semantic+Artifacts+for+Generalized+AI-generated+Image+Detection</t>
  </si>
  <si>
    <t xml:space="preserve">Data-centric / bias-free training</t>
  </si>
  <si>
    <t xml:space="preserve">Patch shuffle / semantic bias</t>
  </si>
  <si>
    <t xml:space="preserve">31 test sets incl. GenImage, UFD, DM sets</t>
  </si>
  <si>
    <t xml:space="preserve">Identifies 'semantic artifacts' that cause overfitting; patch shuffling + patch-wise classifier breaks global semantics.</t>
  </si>
  <si>
    <t xml:space="preserve">Complements PatchCraft/SSP.</t>
  </si>
  <si>
    <t xml:space="preserve">Improved cross-scene and cross-generator generalisation on many test sets.</t>
  </si>
  <si>
    <t xml:space="preserve">Combine with semantic models carefully.</t>
  </si>
  <si>
    <t xml:space="preserve">Discards global information useful for semantic/physical inconsistencies.</t>
  </si>
  <si>
    <t xml:space="preserve">Patch-shuffle augmentation applied only to E1 (artifact) stream.</t>
  </si>
  <si>
    <t xml:space="preserve">On the Effectiveness of Dataset Alignment for Fake Image Detection</t>
  </si>
  <si>
    <t xml:space="preserve">A. S. Rajan, U. Ojha, J. Schloesser, Y. J. Lee</t>
  </si>
  <si>
    <t xml:space="preserve">https://arxiv.org/abs/2410.11835</t>
  </si>
  <si>
    <t xml:space="preserve">Data alignment</t>
  </si>
  <si>
    <t xml:space="preserve">LAION/real images reconstructed by LDM autoencoder; tested on many LDMs and others</t>
  </si>
  <si>
    <t xml:space="preserve">Creates aligned fake set by passing real images through the LDM autoencoder; detector learns only autoencoder artifacts, not content/format shortcuts.</t>
  </si>
  <si>
    <t xml:space="preserve">Addresses spurious correlations (JPEG, size, content).</t>
  </si>
  <si>
    <t xml:space="preserve">Cheaper to produce data yet better robustness/generalisation to unseen LDMs vs. standard training.</t>
  </si>
  <si>
    <t xml:space="preserve">Non-LDM generators.</t>
  </si>
  <si>
    <t xml:space="preserve">Mainly helps LDM family; may miss pixel-space or autoregressive generators.</t>
  </si>
  <si>
    <t xml:space="preserve">Directly used: we derive aligned negatives from existing real images (no new image collection).</t>
  </si>
  <si>
    <t xml:space="preserve">Stay-Positive: A Case for Ignoring Real Image Features in Fake Image Detection</t>
  </si>
  <si>
    <t xml:space="preserve">A. S. Rajan, Y. J. Lee</t>
  </si>
  <si>
    <t xml:space="preserve">ICML 2025</t>
  </si>
  <si>
    <t xml:space="preserve">https://scholar.google.com/scholar?q=Stay-Positive+A+Case+for+Ignoring+Real+Image+Features+in+Fake+Image+Detection</t>
  </si>
  <si>
    <t xml:space="preserve">Training objective</t>
  </si>
  <si>
    <t xml:space="preserve">LDM-family fakes, inpainted images</t>
  </si>
  <si>
    <t xml:space="preserve">Constrains the classifier to rely only on fake-indicative features (non-negative last-layer weights), so real-image features cannot push predictions.</t>
  </si>
  <si>
    <t xml:space="preserve">Follow-up to dataset alignment.</t>
  </si>
  <si>
    <t xml:space="preserve">More robust to partial inpainting and post-processing that adds 'real' cues.</t>
  </si>
  <si>
    <t xml:space="preserve">Combine with other modalities.</t>
  </si>
  <si>
    <t xml:space="preserve">Needs well-aligned data to work; evaluated mainly on LDM.</t>
  </si>
  <si>
    <t xml:space="preserve">Positive-only constraint tested as ablation on our fusion head.</t>
  </si>
  <si>
    <t xml:space="preserve">DIRE for Diffusion-Generated Image Detection</t>
  </si>
  <si>
    <t xml:space="preserve">Z. Wang, J. Bao, W. Zhou, W. Wang, H. Hu, H. Chen, H. Li</t>
  </si>
  <si>
    <t xml:space="preserve">ICCV 2023</t>
  </si>
  <si>
    <t xml:space="preserve">https://arxiv.org/abs/2303.09295</t>
  </si>
  <si>
    <t xml:space="preserve">Reconstruction / zero-shot</t>
  </si>
  <si>
    <t xml:space="preserve">Reconstruction error</t>
  </si>
  <si>
    <t xml:space="preserve">DiffusionForensics (LSUN-Bedroom, ImageNet, CelebA-HQ with ADM, DDPM, iDDPM, PNDM, LDM, SD-v1/v2, VQDiffusion, Midjourney, DALL·E 2...)</t>
  </si>
  <si>
    <t xml:space="preserve">DDIM inversion + reconstruction; DIffusion Reconstruction Error map fed to ResNet-50.</t>
  </si>
  <si>
    <t xml:space="preserve">First reconstruction-based DM detector.</t>
  </si>
  <si>
    <t xml:space="preserve">Near-perfect in-domain accuracy and good cross-DM transfer on DiffusionForensics.</t>
  </si>
  <si>
    <t xml:space="preserve">Faster inversion; more generators.</t>
  </si>
  <si>
    <t xml:space="preserve">Very slow (full DDIM inversion); later shown to exploit JPEG/format bias; weak on non-DM generators.</t>
  </si>
  <si>
    <t xml:space="preserve">Reconstruction-error idea refined in E3 (cheap VAE-based, debiased).</t>
  </si>
  <si>
    <t xml:space="preserve">AEROBLADE: Training-Free Detection of Latent Diffusion Images Using Autoencoder Reconstruction Error</t>
  </si>
  <si>
    <t xml:space="preserve">J. Ricker, D. Lukovnikov, A. Fischer</t>
  </si>
  <si>
    <t xml:space="preserve">https://arxiv.org/abs/2401.17879</t>
  </si>
  <si>
    <t xml:space="preserve">Zero-shot reconstruction</t>
  </si>
  <si>
    <t xml:space="preserve">SD1/SD2/Kandinsky/Midjourney images vs LAION reals</t>
  </si>
  <si>
    <t xml:space="preserve">Training-free: LPIPS distance between image and its LDM-autoencoder reconstruction; min over several AEs.</t>
  </si>
  <si>
    <t xml:space="preserve">Simplifies DIRE to the AE only.</t>
  </si>
  <si>
    <t xml:space="preserve">High AP (close to 0.99) on LDM images without training.</t>
  </si>
  <si>
    <t xml:space="preserve">Non-LDM generators; robustness.</t>
  </si>
  <si>
    <t xml:space="preserve">Fails on non-LDM generators; content-dependent bias (simple backgrounds); vulnerable to adversarial examples (Demchenko 2026).</t>
  </si>
  <si>
    <t xml:space="preserve">VAE reconstruction distance is a base signal of E3.</t>
  </si>
  <si>
    <t xml:space="preserve">LaRE^2: Latent Reconstruction Error Based Method for Diffusion-Generated Image Detection</t>
  </si>
  <si>
    <t xml:space="preserve">Y. Luo, J. Du, K. Yan, S. Ding</t>
  </si>
  <si>
    <t xml:space="preserve">https://arxiv.org/abs/2403.17465</t>
  </si>
  <si>
    <t xml:space="preserve">Latent reconstruction</t>
  </si>
  <si>
    <t xml:space="preserve">Single-step latent reconstruction error (LaRE) used to guide feature refinement (EGRE module) in spatial and channel dimensions.</t>
  </si>
  <si>
    <t xml:space="preserve">Faster alternative to DIRE.</t>
  </si>
  <si>
    <t xml:space="preserve">Significant GenImage gains over prior methods with ~8x faster feature extraction than DIRE.</t>
  </si>
  <si>
    <t xml:space="preserve">Other generator families.</t>
  </si>
  <si>
    <t xml:space="preserve">Depends on SD VAE; tied to LDM family.</t>
  </si>
  <si>
    <t xml:space="preserve">Latent-space error as a second E3 signal.</t>
  </si>
  <si>
    <t xml:space="preserve">FakeInversion: Learning to Detect Images from Unseen Text-to-Image Models by Inverting Stable Diffusion</t>
  </si>
  <si>
    <t xml:space="preserve">G. Cazenavette, A. Sud, T. Leung, B. Usman</t>
  </si>
  <si>
    <t xml:space="preserve">https://arxiv.org/abs/2406.08603</t>
  </si>
  <si>
    <t xml:space="preserve">Inversion features / benchmark</t>
  </si>
  <si>
    <t xml:space="preserve">New SynRIS benchmark: fakes from many T2I models with real images retrieved via reverse image search (content/style matched)</t>
  </si>
  <si>
    <t xml:space="preserve">Extracts text-conditioned inversion maps and noise from Stable Diffusion as features for the detector.</t>
  </si>
  <si>
    <t xml:space="preserve">Addresses content bias in evaluation via reverse-image-search reals.</t>
  </si>
  <si>
    <t xml:space="preserve">Strong generalisation to unseen, including commercial, T2I models on SynRIS.</t>
  </si>
  <si>
    <t xml:space="preserve">Faster inversion.</t>
  </si>
  <si>
    <t xml:space="preserve">Expensive inversion; dependence on SD.</t>
  </si>
  <si>
    <t xml:space="preserve">SynRIS-style content-matched evaluation principle.</t>
  </si>
  <si>
    <t xml:space="preserve">DRCT: Diffusion Reconstruction Contrastive Training towards Universal Detection of Diffusion Generated Images</t>
  </si>
  <si>
    <t xml:space="preserve">B. Chen, J. Zeng, J. Yang, R. Yang</t>
  </si>
  <si>
    <t xml:space="preserve">ICML 2024</t>
  </si>
  <si>
    <t xml:space="preserve">https://scholar.google.com/scholar?q=DRCT+Diffusion+Reconstruction+Contrastive+Training+towards+Universal+Detection+of+Diffusion+Generated+Images</t>
  </si>
  <si>
    <t xml:space="preserve">Reconstruction + contrastive training</t>
  </si>
  <si>
    <t xml:space="preserve">New DRCT-2M (2M images from 16 SD-family models, MSCOCO reals)</t>
  </si>
  <si>
    <t xml:space="preserve">Reconstructs real images with DMs to create hard samples; contrastive training pulls reconstructions toward fake class.</t>
  </si>
  <si>
    <t xml:space="preserve">Data-centric generalisation; precursor to dataset alignment.</t>
  </si>
  <si>
    <t xml:space="preserve">Reported &gt;10% cross-set accuracy improvement over baselines.</t>
  </si>
  <si>
    <t xml:space="preserve">Non-SD families.</t>
  </si>
  <si>
    <t xml:space="preserve">Mostly SD-family; reconstruction expense.</t>
  </si>
  <si>
    <t xml:space="preserve">DRCT-2M as training/test set; hard-negative contrastive loss.</t>
  </si>
  <si>
    <t xml:space="preserve">FIRE: Robust Detection of Diffusion-Generated Images via Frequency-Guided Reconstruction Error</t>
  </si>
  <si>
    <t xml:space="preserve">B. Chu, X. Xu, X. Wang, Y. Zhang, W. You, L. Zhou</t>
  </si>
  <si>
    <t xml:space="preserve">https://arxiv.org/abs/2412.07140</t>
  </si>
  <si>
    <t xml:space="preserve">Reconstruction + frequency</t>
  </si>
  <si>
    <t xml:space="preserve">DiffusionForensics; self-collected multi-DM set</t>
  </si>
  <si>
    <t xml:space="preserve">Learns frequency-decomposition masks; diffusion models reconstruct mid-band frequencies of real images poorly; uses this frequency-guided reconstruction error.</t>
  </si>
  <si>
    <t xml:space="preserve">Combines DIRE-style error with spectral analysis.</t>
  </si>
  <si>
    <t xml:space="preserve">Outperforms prior reconstruction methods and is more robust to perturbations.</t>
  </si>
  <si>
    <t xml:space="preserve">Speed-up.</t>
  </si>
  <si>
    <t xml:space="preserve">Diffusion-reconstruction cost; DM-specific.</t>
  </si>
  <si>
    <t xml:space="preserve">Mid-band frequency weighting in E3 error maps.</t>
  </si>
  <si>
    <t xml:space="preserve">A Difference-in-Difference Approach to Detecting AI-Generated Images (DID)</t>
  </si>
  <si>
    <t xml:space="preserve">X. Qi, K. Ye, C. Shi, Y. Yang, J. Zhu, H. Zhou</t>
  </si>
  <si>
    <t xml:space="preserve">CVPR 2026</t>
  </si>
  <si>
    <t xml:space="preserve">https://openaccess.thecvf.com/content/CVPR2026/html/Qi_A_Difference-in-Difference_Approach_to_Detecting_AI-Generated_Images_CVPR_2026_paper.html</t>
  </si>
  <si>
    <t xml:space="preserve">Reconstruction (second-order)</t>
  </si>
  <si>
    <t xml:space="preserve">Multiple DM benchmarks (see paper)</t>
  </si>
  <si>
    <t xml:space="preserve">Uses the second-order difference of reconstruction error (error of image vs. error of its reconstruction) to cancel content variance.</t>
  </si>
  <si>
    <t xml:space="preserve">Reconstruction error loses power as generators get realistic.</t>
  </si>
  <si>
    <t xml:space="preserve">Reported strong generalisation with lower variance than first-order reconstruction scores.</t>
  </si>
  <si>
    <t xml:space="preserve">Extend to other autoencoders.</t>
  </si>
  <si>
    <t xml:space="preserve">Requires two reconstruction passes; adversarial robustness untested.</t>
  </si>
  <si>
    <t xml:space="preserve">Adopted as the debiasing formula in E3.</t>
  </si>
  <si>
    <t xml:space="preserve">A Debiased Reconstruction-based Framework for Training-Free Detection of AI-Generated Images (RDD)</t>
  </si>
  <si>
    <t xml:space="preserve">S. Choi, H. Lee, J. Lee, R. Kim, S. J. Choi, M. Lee</t>
  </si>
  <si>
    <t xml:space="preserve">CVPR 2026 (Highlight)</t>
  </si>
  <si>
    <t xml:space="preserve">https://cvpr.thecvf.com/virtual/2026/poster/39565</t>
  </si>
  <si>
    <t xml:space="preserve">Diverse generators (see paper)</t>
  </si>
  <si>
    <t xml:space="preserve">Normalises image-level reconstruction error with augmented (rotation, low-pass) versions; adds rotation-normalised latent-level error; combines into RDD score.</t>
  </si>
  <si>
    <t xml:space="preserve">Shows AEROBLADE-type scores are biased by content (simple backgrounds).</t>
  </si>
  <si>
    <t xml:space="preserve">Claimed SOTA training-free detection and robustness to corruptions.</t>
  </si>
  <si>
    <t xml:space="preserve">Learning-based extensions.</t>
  </si>
  <si>
    <t xml:space="preserve">Multiple forward passes; still LDM-centric.</t>
  </si>
  <si>
    <t xml:space="preserve">Rotation/low-pass normalisation used in E3.</t>
  </si>
  <si>
    <t xml:space="preserve">Zero-Shot Detection of AI-Generated Images (ZED)</t>
  </si>
  <si>
    <t xml:space="preserve">D. Cozzolino, G. Poggi, M. Nießner, L. Verdoliva</t>
  </si>
  <si>
    <t xml:space="preserve">ECCV 2024</t>
  </si>
  <si>
    <t xml:space="preserve">https://arxiv.org/abs/2409.15875</t>
  </si>
  <si>
    <t xml:space="preserve">Zero-shot / coding cost</t>
  </si>
  <si>
    <t xml:space="preserve">Many recent generators vs. real images</t>
  </si>
  <si>
    <t xml:space="preserve">Lossless image encoder trained only on real images predicts pixel distributions; surprisal (coding cost) gap flags synthetic images.</t>
  </si>
  <si>
    <t xml:space="preserve">Training-free w.r.t. fakes; information-theoretic.</t>
  </si>
  <si>
    <t xml:space="preserve">Improves over prior training-free methods by a few points accuracy on average; no fake data needed.</t>
  </si>
  <si>
    <t xml:space="preserve">Sensitive to JPEG/resizing; real-image model must match domain.</t>
  </si>
  <si>
    <t xml:space="preserve">Real-only modelling idea for OOD regulariser.</t>
  </si>
  <si>
    <t xml:space="preserve">RIGID: A Training-free and Model-Agnostic Framework for Robust AI-Generated Image Detection</t>
  </si>
  <si>
    <t xml:space="preserve">Z. He, P.-Y. Chen, T.-Y. Ho</t>
  </si>
  <si>
    <t xml:space="preserve">https://arxiv.org/abs/2405.20112</t>
  </si>
  <si>
    <t xml:space="preserve">Zero-shot representation</t>
  </si>
  <si>
    <t xml:space="preserve">ImageNet, LSUN-Bedroom, GenImage-type sets</t>
  </si>
  <si>
    <t xml:space="preserve">Real images' foundation-model (DINOv2) embeddings are more stable under small noise than generated ones; cosine similarity under perturbation is the score.</t>
  </si>
  <si>
    <t xml:space="preserve">Training-free alternative to reconstruction.</t>
  </si>
  <si>
    <t xml:space="preserve">Competitive with trained detectors on several sets; very cheap.</t>
  </si>
  <si>
    <t xml:space="preserve">Theoretical analysis.</t>
  </si>
  <si>
    <t xml:space="preserve">Threshold calibration needed; varies across domains.</t>
  </si>
  <si>
    <t xml:space="preserve">Perturbation-stability score added as E2 auxiliary feature.</t>
  </si>
  <si>
    <t xml:space="preserve">Manifold Induced Biases for Zero-shot and Few-shot Detection of Generated Images</t>
  </si>
  <si>
    <t xml:space="preserve">J. Brokman, A. Giloni, O. Hofman, R. Vainshtein, H. Kojima, G. Gilboa</t>
  </si>
  <si>
    <t xml:space="preserve">https://scholar.google.com/scholar?q=Manifold+Induced+Biases+for+Zero-shot+and+Few-shot+Detection+of+Generated+Images</t>
  </si>
  <si>
    <t xml:space="preserve">Zero-shot (theory)</t>
  </si>
  <si>
    <t xml:space="preserve">Multiple generators (see paper)</t>
  </si>
  <si>
    <t xml:space="preserve">Derives score from diffusion model's learned manifold — generated images lie on/near high-likelihood manifold; uses score-function curvature/bias.</t>
  </si>
  <si>
    <t xml:space="preserve">Theoretical grounding of zero-shot detection.</t>
  </si>
  <si>
    <t xml:space="preserve">Strong zero/few-shot results across generators.</t>
  </si>
  <si>
    <t xml:space="preserve">Extension to other modalities.</t>
  </si>
  <si>
    <t xml:space="preserve">Computational cost; theory assumes particular diffusion properties.</t>
  </si>
  <si>
    <t xml:space="preserve">Theoretical support for E3's design.</t>
  </si>
  <si>
    <t xml:space="preserve">Efficient Zero-Shot AI-Generated Image Detection</t>
  </si>
  <si>
    <t xml:space="preserve">R. Sonoda, R. Srinivasan</t>
  </si>
  <si>
    <t xml:space="preserve">arXiv 2026</t>
  </si>
  <si>
    <t xml:space="preserve">https://arxiv.org/abs/2603.21619</t>
  </si>
  <si>
    <t xml:space="preserve">Zero-shot / frequency perturbation</t>
  </si>
  <si>
    <t xml:space="preserve">OpenFake and other benchmarks</t>
  </si>
  <si>
    <t xml:space="preserve">Measures representation sensitivity to structured frequency perturbations; one Fourier transform per image.</t>
  </si>
  <si>
    <t xml:space="preserve">Speeds up training-free detectors.</t>
  </si>
  <si>
    <t xml:space="preserve">Reported nearly 10% AUC improvement on OpenFake and 1–2 orders of magnitude faster than most training-free detectors.</t>
  </si>
  <si>
    <t xml:space="preserve">—</t>
  </si>
  <si>
    <t xml:space="preserve">Preprint; limited peer review.</t>
  </si>
  <si>
    <t xml:space="preserve">Cheap frequency-perturbation feature for E2/E3 auxiliary input.</t>
  </si>
  <si>
    <t xml:space="preserve">Forensic Self-Descriptions Are All You Need for Zero-Shot Detection, Open-Set Source Attribution, and Clustering of AI-generated Images</t>
  </si>
  <si>
    <t xml:space="preserve">T. D. Nguyen, A. Azizpour, M. C. Stamm</t>
  </si>
  <si>
    <t xml:space="preserve">https://scholar.google.com/scholar?q=Forensic+Self-Descriptions+Are+All+You+Need+Zero-Shot+Detection+Open-Set+Source+Attribution</t>
  </si>
  <si>
    <t xml:space="preserve">Zero-shot / attribution</t>
  </si>
  <si>
    <t xml:space="preserve">Real-only training; many GAN/DM generators for test</t>
  </si>
  <si>
    <t xml:space="preserve">Learns predictive filters on real images; residual 'self-description' statistics modelled to detect, attribute (open-set) and cluster sources.</t>
  </si>
  <si>
    <t xml:space="preserve">Unifies detection &amp; attribution.</t>
  </si>
  <si>
    <t xml:space="preserve">Strong zero-shot detection and open-set attribution vs. prior methods.</t>
  </si>
  <si>
    <t xml:space="preserve">Robustness.</t>
  </si>
  <si>
    <t xml:space="preserve">Residual-based, so fragile to strong compression.</t>
  </si>
  <si>
    <t xml:space="preserve">Open-set attribution head inspiration.</t>
  </si>
  <si>
    <t xml:space="preserve">Towards Universal Fake Image Detectors that Generalize Across Generative Models (UnivFD)</t>
  </si>
  <si>
    <t xml:space="preserve">U. Ojha, Y. Li, Y. J. Lee</t>
  </si>
  <si>
    <t xml:space="preserve">https://arxiv.org/abs/2302.10174</t>
  </si>
  <si>
    <t xml:space="preserve">Foundation-model / VLM features</t>
  </si>
  <si>
    <t xml:space="preserve">Foundation features (CLIP)</t>
  </si>
  <si>
    <t xml:space="preserve">Train: ProGAN (ForenSynths); test: GANs + diffusion (LDM, Glide, Guided/ADM) + DALL·E — the 'UniversalFakeDetect' benchmark</t>
  </si>
  <si>
    <t xml:space="preserve">Frozen CLIP ViT-L/14 features + linear probe or nearest neighbour; no fine-tuning.</t>
  </si>
  <si>
    <t xml:space="preserve">Shows trained classifiers overfit to 'fake' patterns and treat real as sink class.</t>
  </si>
  <si>
    <t xml:space="preserve">Large gains (~+15 mAP, ~+26 accuracy points) over prior SOTA on unseen diffusion/autoregressive models.</t>
  </si>
  <si>
    <t xml:space="preserve">Better use of foundation features.</t>
  </si>
  <si>
    <t xml:space="preserve">Linear probe misses low-level artifacts; lower accuracy on some DMs; weak on in-the-wild sets.</t>
  </si>
  <si>
    <t xml:space="preserve">CLIP backbone of E2; UFD benchmark is test set in P1.</t>
  </si>
  <si>
    <t xml:space="preserve">Raising the Bar of AI-generated Image Detection with CLIP</t>
  </si>
  <si>
    <t xml:space="preserve">D. Cozzolino, G. Poggi, R. Corvi, M. Nießner, L. Verdoliva</t>
  </si>
  <si>
    <t xml:space="preserve">CVPR Workshops 2024</t>
  </si>
  <si>
    <t xml:space="preserve">https://arxiv.org/abs/2312.00195</t>
  </si>
  <si>
    <t xml:space="preserve">Foundation features (CLIP), few-shot</t>
  </si>
  <si>
    <t xml:space="preserve">Few reference images from one generator; tests on many commercial and open generators, social-network laundered images</t>
  </si>
  <si>
    <t xml:space="preserve">CLIP features + linear SVM trained with very few (e.g., 1k) paired images.</t>
  </si>
  <si>
    <t xml:space="preserve">Builds on UnivFD; emphasises robustness.</t>
  </si>
  <si>
    <t xml:space="preserve">Reported notable AUC gains in-distribution and larger gains on impaired/laundered images vs SOTA.</t>
  </si>
  <si>
    <t xml:space="preserve">Understanding why CLIP works.</t>
  </si>
  <si>
    <t xml:space="preserve">Dependent on CLIP domain; limited localisation.</t>
  </si>
  <si>
    <t xml:space="preserve">Few-shot adaptation option for new generators.</t>
  </si>
  <si>
    <t xml:space="preserve">DE-FAKE: Detection and Attribution of Fake Images Generated by Text-to-Image Generation Models</t>
  </si>
  <si>
    <t xml:space="preserve">Z. Sha, Z. Li, N. Yu, Y. Zhang</t>
  </si>
  <si>
    <t xml:space="preserve">ACM CCS 2023</t>
  </si>
  <si>
    <t xml:space="preserve">https://arxiv.org/abs/2210.06998</t>
  </si>
  <si>
    <t xml:space="preserve">Multimodal (image + prompt)</t>
  </si>
  <si>
    <t xml:space="preserve">MSCOCO, Flickr30k prompts; SD, LD, GLIDE, DALL·E 2</t>
  </si>
  <si>
    <t xml:space="preserve">Image-only and hybrid (CLIP image+text-prompt embeddings) classifiers for detection and source attribution.</t>
  </si>
  <si>
    <t xml:space="preserve">First T2I-specific detection &amp; attribution with prompts.</t>
  </si>
  <si>
    <t xml:space="preserve">Hybrid detector outperforms image-only; attribution feasible.</t>
  </si>
  <si>
    <t xml:space="preserve">Prompt-free settings.</t>
  </si>
  <si>
    <t xml:space="preserve">Prompts rarely available in the wild.</t>
  </si>
  <si>
    <t xml:space="preserve">Text-conditioned features via VLM-generated captions in E2.</t>
  </si>
  <si>
    <t xml:space="preserve">Generalizable Synthetic Image Detection via Language-guided Contrastive Learning (LASTED)</t>
  </si>
  <si>
    <t xml:space="preserve">H. Wu, J. Zhou, S. Zhang</t>
  </si>
  <si>
    <t xml:space="preserve">https://arxiv.org/abs/2305.13800</t>
  </si>
  <si>
    <t xml:space="preserve">Language-guided</t>
  </si>
  <si>
    <t xml:space="preserve">Mixed GAN/DM/real datasets incl. artworks</t>
  </si>
  <si>
    <t xml:space="preserve">Augments images with textual labels and trains image/text encoders contrastively (CLIP-style) for detection.</t>
  </si>
  <si>
    <t xml:space="preserve">Brings language supervision to forensic features.</t>
  </si>
  <si>
    <t xml:space="preserve">Better generalisation than CNN baselines across 4 settings.</t>
  </si>
  <si>
    <t xml:space="preserve">Larger vocabularies.</t>
  </si>
  <si>
    <t xml:space="preserve">Textual labels are coarse.</t>
  </si>
  <si>
    <t xml:space="preserve">Contrastive image–text alignment loss in E2.</t>
  </si>
  <si>
    <t xml:space="preserve">Forgery-aware Adaptive Transformer for Generalizable Synthetic Image Detection (FatFormer)</t>
  </si>
  <si>
    <t xml:space="preserve">H. Liu, Z. Tan, C. Tan, Y. Wei, J. Wang, Y. Zhao</t>
  </si>
  <si>
    <t xml:space="preserve">https://arxiv.org/abs/2312.16649</t>
  </si>
  <si>
    <t xml:space="preserve">CLIP adaptation</t>
  </si>
  <si>
    <t xml:space="preserve">ProGAN 4-class train; GANs and DMs test</t>
  </si>
  <si>
    <t xml:space="preserve">Forgery-aware adapter in CLIP image encoder (spatial + frequency DWT branches) and language-guided alignment with text prompts.</t>
  </si>
  <si>
    <t xml:space="preserve">Improves frozen-CLIP probing by adapting.</t>
  </si>
  <si>
    <t xml:space="preserve">~98% mean accuracy on unseen GANs and strong diffusion transfer with only 4-class ProGAN training.</t>
  </si>
  <si>
    <t xml:space="preserve">More generators.</t>
  </si>
  <si>
    <t xml:space="preserve">Adapter adds parameters; in-the-wild performance drops.</t>
  </si>
  <si>
    <t xml:space="preserve">Frequency adapters in E2.</t>
  </si>
  <si>
    <t xml:space="preserve">CLIPping the Deception: Adapting Vision-Language Models for Universal Deepfake Detection</t>
  </si>
  <si>
    <t xml:space="preserve">S. A. Khan, D.-T. Dang-Nguyen</t>
  </si>
  <si>
    <t xml:space="preserve">ACM ICMR 2024</t>
  </si>
  <si>
    <t xml:space="preserve">https://arxiv.org/abs/2402.12927</t>
  </si>
  <si>
    <t xml:space="preserve">CLIP prompt tuning</t>
  </si>
  <si>
    <t xml:space="preserve">ProGAN train with limited data; 21 test sets</t>
  </si>
  <si>
    <t xml:space="preserve">Compares linear probing, fine-tuning, adapters and prompt tuning (CoOp-style) of CLIP.</t>
  </si>
  <si>
    <t xml:space="preserve">Systematic comparison of CLIP transfer strategies.</t>
  </si>
  <si>
    <t xml:space="preserve">Prompt tuning gives best generalisation with ~a fraction of training data.</t>
  </si>
  <si>
    <t xml:space="preserve">Combine strategies.</t>
  </si>
  <si>
    <t xml:space="preserve">Semantic-level focus.</t>
  </si>
  <si>
    <t xml:space="preserve">Prompt-tuning as baseline in our ablation.</t>
  </si>
  <si>
    <t xml:space="preserve">Leveraging Representations from Intermediate Encoder-blocks for Synthetic Image Detection (RINE)</t>
  </si>
  <si>
    <t xml:space="preserve">C. Koutlis, S. Papadopoulos</t>
  </si>
  <si>
    <t xml:space="preserve">https://arxiv.org/abs/2402.19091</t>
  </si>
  <si>
    <t xml:space="preserve">CLIP intermediate layers</t>
  </si>
  <si>
    <t xml:space="preserve">ProGAN train; 20 test sets</t>
  </si>
  <si>
    <t xml:space="preserve">Aggregates CLS tokens from intermediate CLIP blocks with learnable importance estimator.</t>
  </si>
  <si>
    <t xml:space="preserve">Intermediate layers keep lower-level info lost in final CLIP layer.</t>
  </si>
  <si>
    <t xml:space="preserve">Average accuracy gain of ~10 points over prior SOTA, fast training (1 epoch).</t>
  </si>
  <si>
    <t xml:space="preserve">Other foundation models.</t>
  </si>
  <si>
    <t xml:space="preserve">Still semantic-heavy; laundering sensitivity.</t>
  </si>
  <si>
    <t xml:space="preserve">Multi-layer token aggregation in E2.</t>
  </si>
  <si>
    <t xml:space="preserve">AntifakePrompt: Prompt-Tuned Vision-Language Models are Fake Image Detectors</t>
  </si>
  <si>
    <t xml:space="preserve">Y.-M. Chang, C. Yeh, W.-C. Chiu, N. Yu</t>
  </si>
  <si>
    <t xml:space="preserve">https://arxiv.org/abs/2310.17419</t>
  </si>
  <si>
    <t xml:space="preserve">VLM (VQA) prompt tuning</t>
  </si>
  <si>
    <t xml:space="preserve">SD2-generated + COCO; tests on 10+ generators and attacks</t>
  </si>
  <si>
    <t xml:space="preserve">InstructBLIP framed as VQA ('Is this photo real?'); soft prompt tuning.</t>
  </si>
  <si>
    <t xml:space="preserve">First to use instruction-tuned VLM for detection.</t>
  </si>
  <si>
    <t xml:space="preserve">High accuracy on unseen generators and attacked images.</t>
  </si>
  <si>
    <t xml:space="preserve">Explainability.</t>
  </si>
  <si>
    <t xml:space="preserve">Large model inference cost; binary text output, little explanation.</t>
  </si>
  <si>
    <t xml:space="preserve">VQA formulation baseline for our MLLM layer.</t>
  </si>
  <si>
    <t xml:space="preserve">C2P-CLIP: Injecting Category Common Prompt in CLIP to Enhance Generalization in Deepfake Detection</t>
  </si>
  <si>
    <t xml:space="preserve">C. Tan, R. Tao, H. Liu, G. Gu, B. Wu, Y. Zhao, Y. Wei</t>
  </si>
  <si>
    <t xml:space="preserve">AAAI 2025</t>
  </si>
  <si>
    <t xml:space="preserve">https://arxiv.org/abs/2408.09647</t>
  </si>
  <si>
    <t xml:space="preserve">CLIP + text prompts</t>
  </si>
  <si>
    <t xml:space="preserve">UFD and GenImage</t>
  </si>
  <si>
    <t xml:space="preserve">Category common prompts injected into image encoder via contrastive learning; no extra inference cost.</t>
  </si>
  <si>
    <t xml:space="preserve">Analyses what CLIP detects (decoded features → concept words).</t>
  </si>
  <si>
    <t xml:space="preserve">~12 point accuracy improvement over original CLIP linear probe on benchmarks.</t>
  </si>
  <si>
    <t xml:space="preserve">More concepts.</t>
  </si>
  <si>
    <t xml:space="preserve">Relies on CLIP semantics; low-level traces missed.</t>
  </si>
  <si>
    <t xml:space="preserve">Common-prompt injection in E2 contrastive loss.</t>
  </si>
  <si>
    <t xml:space="preserve">Orthogonal Subspace Decomposition for Generalizable AI-Generated Image Detection (Effort)</t>
  </si>
  <si>
    <t xml:space="preserve">Z. Yan, J. Wang, P. Jin, K.-Y. Zhang, C. Liu, S. Chen, T. Yao, S. Ding, B. Wu, L. Yuan</t>
  </si>
  <si>
    <t xml:space="preserve">https://arxiv.org/abs/2411.15633</t>
  </si>
  <si>
    <t xml:space="preserve">Parameter-efficient adaptation</t>
  </si>
  <si>
    <t xml:space="preserve">Deepfake (FF++→ others) and AIGI (GenImage, UFD)</t>
  </si>
  <si>
    <t xml:space="preserve">SVD of CLIP weights: freeze principal components (pretrained knowledge), learn only residual subspace with orthogonality constraints.</t>
  </si>
  <si>
    <t xml:space="preserve">Explains overfitting as low-rank feature collapse.</t>
  </si>
  <si>
    <t xml:space="preserve">SOTA on deepfake and AIGI benchmarks with ~0.19M trainable parameters.</t>
  </si>
  <si>
    <t xml:space="preserve">Other backbones.</t>
  </si>
  <si>
    <t xml:space="preserve">Theory on rank collapse is empirical; single backbone.</t>
  </si>
  <si>
    <t xml:space="preserve">SVD-residual adaptation (formula in proposal) used for E2 backbones.</t>
  </si>
  <si>
    <t xml:space="preserve">CO-SPY: Combining Semantic and Pixel Features to Detect Synthetic Images by AI</t>
  </si>
  <si>
    <t xml:space="preserve">S. Cheng, L. Lyu, Z. Wang, X. Zhang, V. Sehwag</t>
  </si>
  <si>
    <t xml:space="preserve">https://arxiv.org/abs/2503.18286</t>
  </si>
  <si>
    <t xml:space="preserve">Hybrid semantic+pixel</t>
  </si>
  <si>
    <t xml:space="preserve">New Co-Spy-Bench: 22 generators × 5 real datasets, in-the-wild set</t>
  </si>
  <si>
    <t xml:space="preserve">Combines enhanced VAE-artifact (pixel) features with CLIP semantic features, adaptive fusion.</t>
  </si>
  <si>
    <t xml:space="preserve">Shows semantic and artifact features fail in complementary ways.</t>
  </si>
  <si>
    <t xml:space="preserve">Reported ~11% average accuracy gain over prior SOTA in their benchmark.</t>
  </si>
  <si>
    <t xml:space="preserve">Extend to video.</t>
  </si>
  <si>
    <t xml:space="preserve">Two-branch only; no geometry/physical cues; adversarial robustness not central.</t>
  </si>
  <si>
    <t xml:space="preserve">Co-Spy-Bench used as test set; validates hybrid fusion.</t>
  </si>
  <si>
    <t xml:space="preserve">A Bias-Free Training Paradigm for More General AI-generated Image Detection (B-Free)</t>
  </si>
  <si>
    <t xml:space="preserve">F. Guillaro, G. Zingarini, B. Usman, A. Sud, D. Cozzolino, L. Verdoliva</t>
  </si>
  <si>
    <t xml:space="preserve">https://arxiv.org/abs/2412.17671</t>
  </si>
  <si>
    <t xml:space="preserve">Bias-free data</t>
  </si>
  <si>
    <t xml:space="preserve">Self-generated content-aligned fakes via SD inpainting of real COCO images; tested on 27 generators + social-network images</t>
  </si>
  <si>
    <t xml:space="preserve">Generates fakes conditioned on real images (inpainting / self-conditioned) so real and fake share semantics; content augmentation; CLIP-based detector.</t>
  </si>
  <si>
    <t xml:space="preserve">Shows dataset biases (format, content) drive overfitting.</t>
  </si>
  <si>
    <t xml:space="preserve">Strong generalisation and robustness, including social-network-shared images; better calibration.</t>
  </si>
  <si>
    <t xml:space="preserve">Extend paradigm to video.</t>
  </si>
  <si>
    <t xml:space="preserve">Requires generating training images; SD-centric.</t>
  </si>
  <si>
    <t xml:space="preserve">Content-aligned training principle (we use existing reals + VAE reconstructions).</t>
  </si>
  <si>
    <t xml:space="preserve">Dual Data Alignment Makes AI-Generated Image Detector Easier Generalizable (DDA)</t>
  </si>
  <si>
    <t xml:space="preserve">R. Chen, J. Xi, Z. Yan, K.-Y. Zhang, S. Wu, J. Xie, X. Chen, L. Xu, I. Guyon, S. Ding</t>
  </si>
  <si>
    <t xml:space="preserve">NeurIPS 2025</t>
  </si>
  <si>
    <t xml:space="preserve">https://arxiv.org/abs/2505.14359</t>
  </si>
  <si>
    <t xml:space="preserve">Data alignment (pixel + frequency)</t>
  </si>
  <si>
    <t xml:space="preserve">Train on aligned COCO reconstructions; tested on 10+ benchmarks incl. new EvalGEN</t>
  </si>
  <si>
    <t xml:space="preserve">Aligns real and synthetic in pixel and frequency domains (VAE reconstruction + frequency mixing) to eliminate biases.</t>
  </si>
  <si>
    <t xml:space="preserve">Extends dataset alignment to frequency.</t>
  </si>
  <si>
    <t xml:space="preserve">Strong generalisation across many benchmarks with a single model.</t>
  </si>
  <si>
    <t xml:space="preserve">Other generator paradigms.</t>
  </si>
  <si>
    <t xml:space="preserve">VAE-alignment may underweight non-LDM artifacts.</t>
  </si>
  <si>
    <t xml:space="preserve">Frequency-aligned negatives in our training set.</t>
  </si>
  <si>
    <t xml:space="preserve">Community Forensics: Using Thousands of Generators to Train Fake Image Detectors</t>
  </si>
  <si>
    <t xml:space="preserve">J. Park, A. Owens</t>
  </si>
  <si>
    <t xml:space="preserve">https://arxiv.org/abs/2411.04125</t>
  </si>
  <si>
    <t xml:space="preserve">Data scale / diversity</t>
  </si>
  <si>
    <t xml:space="preserve">Community Forensics dataset: ~2.7M images from 4,803 generators (HF community models) + eval set</t>
  </si>
  <si>
    <t xml:space="preserve">Trains standard classifiers on vast generator diversity.</t>
  </si>
  <si>
    <t xml:space="preserve">Studies effect of generator diversity vs. number of images.</t>
  </si>
  <si>
    <t xml:space="preserve">Generator diversity strongly improves generalisation to unseen models.</t>
  </si>
  <si>
    <t xml:space="preserve">Continual updates.</t>
  </si>
  <si>
    <t xml:space="preserve">Heavy download/storage; mostly SD-family community models.</t>
  </si>
  <si>
    <t xml:space="preserve">Training data source (subset) + eval set.</t>
  </si>
  <si>
    <t xml:space="preserve">Few-Shot Learner Generalizes Across AI-Generated Image Detection (FSD)</t>
  </si>
  <si>
    <t xml:space="preserve">S. Wu, J. Liu, J. Li, Y. Wang</t>
  </si>
  <si>
    <t xml:space="preserve">https://arxiv.org/abs/2501.08763</t>
  </si>
  <si>
    <t xml:space="preserve">Few-shot / metric learning</t>
  </si>
  <si>
    <t xml:space="preserve">Prototypical network: detection reframed as few-shot classification with generator prototypes.</t>
  </si>
  <si>
    <t xml:space="preserve">Treats unseen generators as new classes.</t>
  </si>
  <si>
    <t xml:space="preserve">Reported large accuracy gains on unseen generators using only a few samples.</t>
  </si>
  <si>
    <t xml:space="preserve">Zero-shot extension.</t>
  </si>
  <si>
    <t xml:space="preserve">Requires samples of new generator.</t>
  </si>
  <si>
    <t xml:space="preserve">Prototype head option for fast adaptation.</t>
  </si>
  <si>
    <t xml:space="preserve">Towards Generalizable AI-Generated Image Detection via Image-Adaptive Prompt Learning (IAPL)</t>
  </si>
  <si>
    <t xml:space="preserve">Y. Li, Z. Tan, G. Xu, Z. Lei, X. Zhou, Y. Yang</t>
  </si>
  <si>
    <t xml:space="preserve">https://arxiv.org/abs/2508.01603</t>
  </si>
  <si>
    <t xml:space="preserve">Test-time adaptive prompts</t>
  </si>
  <si>
    <t xml:space="preserve">UniversalFakeDetect, GenImage</t>
  </si>
  <si>
    <t xml:space="preserve">Conditional information learner + test-time adaptive tokens optimised per image via multi-view consistency; selects most confident view.</t>
  </si>
  <si>
    <t xml:space="preserve">Static prompts fail to adapt to unseen generators.</t>
  </si>
  <si>
    <t xml:space="preserve">Mean accuracy 95.61% (UFD) and 96.7% (GenImage).</t>
  </si>
  <si>
    <t xml:space="preserve">Reduce test-time cost.</t>
  </si>
  <si>
    <t xml:space="preserve">Per-sample optimisation adds inference cost; code release pending.</t>
  </si>
  <si>
    <t xml:space="preserve">Strong baseline to beat on P1/P2.</t>
  </si>
  <si>
    <t xml:space="preserve">Rethinking Cross-Generator Image Forgery Detection through DINOv3</t>
  </si>
  <si>
    <t xml:space="preserve">Z. Huang, J. Li, H. Wen, T. Li, X. Yang, L. Qi, B. Peng, X. Huang, M.-H. Yang, G. Cheng</t>
  </si>
  <si>
    <t xml:space="preserve">arXiv 2025</t>
  </si>
  <si>
    <t xml:space="preserve">https://arxiv.org/abs/2511.22471</t>
  </si>
  <si>
    <t xml:space="preserve">Foundation features (DINOv3)</t>
  </si>
  <si>
    <t xml:space="preserve">Multiple cross-generator benchmarks</t>
  </si>
  <si>
    <t xml:space="preserve">Frozen DINOv3 + training-free token ranking + linear probe on selected tokens.</t>
  </si>
  <si>
    <t xml:space="preserve">Shows DINOv3 relies on global low-frequency structure, not generator-specific traces.</t>
  </si>
  <si>
    <t xml:space="preserve">Selected-token probe consistently improves accuracy across evaluated datasets.</t>
  </si>
  <si>
    <t xml:space="preserve">Interpretability of tokens.</t>
  </si>
  <si>
    <t xml:space="preserve">Linear probe; preprint.</t>
  </si>
  <si>
    <t xml:space="preserve">DINOv3 as second backbone in E2.</t>
  </si>
  <si>
    <t xml:space="preserve">Unleashing the Potential of Vision-Language Models for Generalizable AI-Generated Image Detection (PE-SPC)</t>
  </si>
  <si>
    <t xml:space="preserve">W. Cai, H. Tan, Z. Tan, J. Wan, X. Gao</t>
  </si>
  <si>
    <t xml:space="preserve">https://arxiv.org/abs/2608.04935</t>
  </si>
  <si>
    <t xml:space="preserve">Foundation features (Perception Encoder)</t>
  </si>
  <si>
    <t xml:space="preserve">Cross-generator, post-processing, In-the-Wild benchmarks</t>
  </si>
  <si>
    <t xml:space="preserve">Semantic Prototype Calibration on Meta's Perception Encoder features using forensic semantic prototypes.</t>
  </si>
  <si>
    <t xml:space="preserve">Compares PE vs DINOv3.</t>
  </si>
  <si>
    <t xml:space="preserve">PE-Linear trails DINOv3-Linear by 4.1% on In-the-Wild, but PE-SPC surpasses DINOv3 and sets new SOTA.</t>
  </si>
  <si>
    <t xml:space="preserve">Preprint; recent.</t>
  </si>
  <si>
    <t xml:space="preserve">Motivates backbone ablation (CLIP vs DINOv3 vs PE) in E2.</t>
  </si>
  <si>
    <t xml:space="preserve">Scaling Up AI-Generated Image Detection with Generator-Aware Prototypes (GAPL)</t>
  </si>
  <si>
    <t xml:space="preserve">Z. Qin, Y. Ji, R. Tao, Y. Tian, Y. Liu, Y. Wang, X. Zheng</t>
  </si>
  <si>
    <t xml:space="preserve">https://arxiv.org/abs/2512.12982</t>
  </si>
  <si>
    <t xml:space="preserve">Prototype learning / scaling</t>
  </si>
  <si>
    <t xml:space="preserve">Many GAN and diffusion generators</t>
  </si>
  <si>
    <t xml:space="preserve">Learns canonical forgery prototypes + two-stage LoRA to handle heterogeneity when scaling the number of training generators.</t>
  </si>
  <si>
    <t xml:space="preserve">Identifies 'benefit-then-conflict' when adding generator sources.</t>
  </si>
  <si>
    <t xml:space="preserve">Claimed SOTA across diverse generators.</t>
  </si>
  <si>
    <t xml:space="preserve">Preprint.</t>
  </si>
  <si>
    <t xml:space="preserve">Generator-aware prototypes in our attribution head; warns about naive dataset mixing.</t>
  </si>
  <si>
    <t xml:space="preserve">Where Detectors Fail: Probing Generative Space for Generalizable AI-Generated Image Detection (PROBE)</t>
  </si>
  <si>
    <t xml:space="preserve">Z. Cao, W. Tu, Y. Xiao, W. Deng, L. Lin, P. Wei</t>
  </si>
  <si>
    <t xml:space="preserve">https://arxiv.org/abs/2605.24906</t>
  </si>
  <si>
    <t xml:space="preserve">Hard-sample mining in generator space</t>
  </si>
  <si>
    <t xml:space="preserve">Multiple benchmarks</t>
  </si>
  <si>
    <t xml:space="preserve">Uses the detector as a critic to steer generator manifold-level modifications, creating hard realistic samples to refine the detector.</t>
  </si>
  <si>
    <t xml:space="preserve">Generator treated as controllable, not fixed.</t>
  </si>
  <si>
    <t xml:space="preserve">Improves generalisation to unseen generators.</t>
  </si>
  <si>
    <t xml:space="preserve">Requires running generators (compute).</t>
  </si>
  <si>
    <t xml:space="preserve">Optional future extension; not required since we avoid new data generation.</t>
  </si>
  <si>
    <t xml:space="preserve">SAIDO: Generalizable Detection of AI-Generated Images via Scene-Aware and Importance-Guided Dynamic Optimization in Continual Learning</t>
  </si>
  <si>
    <t xml:space="preserve">Y. Hu, Y. Cheng, Y. Zhang, Y. Xie, Z. Yin</t>
  </si>
  <si>
    <t xml:space="preserve">https://openaccess.thecvf.com/content/CVPR2026/html/Hu_SAIDO_Generalizable_Detection_of_AI-Generated_Images_via_Scene-Aware_and_Importance-Guided_CVPR_2026_paper.html</t>
  </si>
  <si>
    <t xml:space="preserve">Continual learning + VLLM scene routing</t>
  </si>
  <si>
    <t xml:space="preserve">Continual-learning tasks and open-world datasets</t>
  </si>
  <si>
    <t xml:space="preserve">VLLM identifies scenes → scene-specific experts; importance-guided gradient projection balances plasticity/stability.</t>
  </si>
  <si>
    <t xml:space="preserve">Detectors must keep up with new generators and content types.</t>
  </si>
  <si>
    <t xml:space="preserve">44.22% relative error-rate reduction, 40.57% less forgetting, +9.47% accuracy on open-world sets vs SOTA.</t>
  </si>
  <si>
    <t xml:space="preserve">Complex pipeline; VLLM needed for routing.</t>
  </si>
  <si>
    <t xml:space="preserve">Scene-aware routing in our gating network.</t>
  </si>
  <si>
    <t xml:space="preserve">D^3: Scaling Up Deepfake Detection by Learning from Discrepancy</t>
  </si>
  <si>
    <t xml:space="preserve">Y. Yang, Z. Qian, Y. Zhu, O. Russakovsky, Y. Wu</t>
  </si>
  <si>
    <t xml:space="preserve">https://arxiv.org/abs/2404.04584</t>
  </si>
  <si>
    <t xml:space="preserve">Discrepancy learning</t>
  </si>
  <si>
    <t xml:space="preserve">Multiple generators (UFD-style + DMs)</t>
  </si>
  <si>
    <t xml:space="preserve">Two-branch learning on original and transformed (patch-shuffled) views; discrepancy signal as universal artifact.</t>
  </si>
  <si>
    <t xml:space="preserve">Scaling training to many generators reduces in-domain performance; addresses it.</t>
  </si>
  <si>
    <t xml:space="preserve">Better OOD accuracy while maintaining in-domain accuracy.</t>
  </si>
  <si>
    <t xml:space="preserve">Extra branch overhead.</t>
  </si>
  <si>
    <t xml:space="preserve">Discrepancy view used in our consistency regulariser.</t>
  </si>
  <si>
    <t xml:space="preserve">Can ChatGPT Detect DeepFakes? A Study of Using Multimodal Large Language Models for Media Forensics</t>
  </si>
  <si>
    <t xml:space="preserve">S. Jia, R. Lyu, K. Zhao, Y. Chen, Z. Yan, Y. Ju, C. Hu, X. Li, B. Wu, S. Lyu</t>
  </si>
  <si>
    <t xml:space="preserve">https://arxiv.org/abs/2403.14077</t>
  </si>
  <si>
    <t xml:space="preserve">MLLM / LLM reasoning &amp; explanation</t>
  </si>
  <si>
    <t xml:space="preserve">MLLM zero-shot</t>
  </si>
  <si>
    <t xml:space="preserve">Face deepfakes and AI-generated faces</t>
  </si>
  <si>
    <t xml:space="preserve">Prompt engineering of GPT-4V / Gemini for zero-shot deepfake detection with explanations.</t>
  </si>
  <si>
    <t xml:space="preserve">First systematic MLLM forensic study.</t>
  </si>
  <si>
    <t xml:space="preserve">Moderate zero-shot AUC (~0.75–0.8); explanations useful but unreliable.</t>
  </si>
  <si>
    <t xml:space="preserve">Fine-tuning MLLMs for forensics.</t>
  </si>
  <si>
    <t xml:space="preserve">Below specialised detectors; prompt-sensitive.</t>
  </si>
  <si>
    <t xml:space="preserve">Motivates MLLM fine-tuning, not zero-shot use.</t>
  </si>
  <si>
    <t xml:space="preserve">FakeBench: Probing Explainable Fake Image Detection via Large Multimodal Models</t>
  </si>
  <si>
    <t xml:space="preserve">Y. Li, X. Liu, X. Wang, B. S. Lee, S. Wang, A. Rocha, W. Lin</t>
  </si>
  <si>
    <t xml:space="preserve">arXiv 2024 (IEEE TIFS 2025)</t>
  </si>
  <si>
    <t xml:space="preserve">https://arxiv.org/abs/2404.13306</t>
  </si>
  <si>
    <t xml:space="preserve">MLLM benchmark</t>
  </si>
  <si>
    <t xml:space="preserve">FakeClass, FakeClue, FakeQA subsets with human-written artifact descriptions</t>
  </si>
  <si>
    <t xml:space="preserve">Benchmarks LMMs on detection, reasoning, interpretation and fine-grained forgery analysis.</t>
  </si>
  <si>
    <t xml:space="preserve">Taxonomy of generative artifacts.</t>
  </si>
  <si>
    <t xml:space="preserve">LMMs (e.g., GPT-4V) show some explanatory ability but detection accuracy is limited.</t>
  </si>
  <si>
    <t xml:space="preserve">Fine-tune LMMs on forensic data.</t>
  </si>
  <si>
    <t xml:space="preserve">Small-scale; mostly zero-shot evaluation.</t>
  </si>
  <si>
    <t xml:space="preserve">Artifact taxonomy used in our annotation schema.</t>
  </si>
  <si>
    <t xml:space="preserve">LOKI: A Comprehensive Synthetic Data Detection Benchmark using Large Multimodal Models</t>
  </si>
  <si>
    <t xml:space="preserve">J. Ye, B. Zhou, Z. Huang, J. Zhang, T. Bai, H. Kang, J. He, H. Lin, Z. Wang, T. Wu, et al.</t>
  </si>
  <si>
    <t xml:space="preserve">https://arxiv.org/abs/2410.09732</t>
  </si>
  <si>
    <t xml:space="preserve">~18K questions across video, image, 3D, text, audio; 26 subcategories; fine-grained anomaly annotations</t>
  </si>
  <si>
    <t xml:space="preserve">Judgment, multiple-choice and anomaly-explanation tasks for LMMs.</t>
  </si>
  <si>
    <t xml:space="preserve">Multi-modal synthetic detection with LMMs.</t>
  </si>
  <si>
    <t xml:space="preserve">LMMs show some capability but remain behind humans and specialised models; GPT-4o strongest.</t>
  </si>
  <si>
    <t xml:space="preserve">Training LMMs for detection.</t>
  </si>
  <si>
    <t xml:space="preserve">Benchmark only.</t>
  </si>
  <si>
    <t xml:space="preserve">Zero-shot MLLM evaluation set (image subset) for our reasoning layer; also includes 3D modality.</t>
  </si>
  <si>
    <t xml:space="preserve">FakeShield: Explainable Image Forgery Detection and Localization via Multi-modal Large Language Models</t>
  </si>
  <si>
    <t xml:space="preserve">Z. Xu, X. Zhang, R. Li, Z. Tang, Q. Huang, J. Zhang</t>
  </si>
  <si>
    <t xml:space="preserve">https://arxiv.org/abs/2410.02761</t>
  </si>
  <si>
    <t xml:space="preserve">MLLM explainable + localisation</t>
  </si>
  <si>
    <t xml:space="preserve">MMTD-Set (GPT-4o-annotated tampering descriptions for PhotoShop, DeepFake, AIGC-editing)</t>
  </si>
  <si>
    <t xml:space="preserve">Domain-tag guided explainable forgery detection module (LLaVA-based) + multimodal forgery localisation module (SAM-based).</t>
  </si>
  <si>
    <t xml:space="preserve">Moves IFDL to explainable MLLM paradigm.</t>
  </si>
  <si>
    <t xml:space="preserve">Outperforms prior IFDL methods in detection, localisation and explanation quality.</t>
  </si>
  <si>
    <t xml:space="preserve">Fully synthetic images.</t>
  </si>
  <si>
    <t xml:space="preserve">Focus on local tampering, not fully generated images; GPT-4o annotation noise.</t>
  </si>
  <si>
    <t xml:space="preserve">GPT-4o-assisted annotation and localisation module design.</t>
  </si>
  <si>
    <t xml:space="preserve">SIDA: Social Media Image Deepfake Detection, Localization and Explanation with Large Multimodal Model</t>
  </si>
  <si>
    <t xml:space="preserve">Z. Huang, J. Hu, X. Li, Y. He, X. Zhao, B. Peng, B. Wu, X. Huang, G. Cheng</t>
  </si>
  <si>
    <t xml:space="preserve">https://arxiv.org/abs/2412.04292</t>
  </si>
  <si>
    <t xml:space="preserve">SID-Set: 300K images (real, fully synthetic, tampered) with masks and text explanations</t>
  </si>
  <si>
    <t xml:space="preserve">LMM (LISA-style) with detection and segmentation tokens producing label, mask and explanation.</t>
  </si>
  <si>
    <t xml:space="preserve">Social-media oriented benchmark.</t>
  </si>
  <si>
    <t xml:space="preserve">Outperforms prior detectors on SID-Set across detection &amp; localisation.</t>
  </si>
  <si>
    <t xml:space="preserve">More generators, robustness.</t>
  </si>
  <si>
    <t xml:space="preserve">Heavy model; dataset generators limited (mostly FLUX-based).</t>
  </si>
  <si>
    <t xml:space="preserve">Mask+explanation joint training template.</t>
  </si>
  <si>
    <t xml:space="preserve">Spot the Fake: Large Multimodal Model-Based Synthetic Image Detection with Artifact Explanation (FakeVLM)</t>
  </si>
  <si>
    <t xml:space="preserve">S. Wen, J. Ye, P. Feng, H. Kang, Z. Wen, Y. Chen, J. Wu, W. Wu, C. He, W. Li</t>
  </si>
  <si>
    <t xml:space="preserve">https://arxiv.org/abs/2503.14905</t>
  </si>
  <si>
    <t xml:space="preserve">MLLM explainable</t>
  </si>
  <si>
    <t xml:space="preserve">FakeClue: &gt;100K images in 7 categories with fine-grained artifact clues in natural language; also LOKI</t>
  </si>
  <si>
    <t xml:space="preserve">Fine-tunes LLaVA-style LMM to detect and explain artifacts directly, no expert classifiers.</t>
  </si>
  <si>
    <t xml:space="preserve">Shows general LMMs can match expert detectors when tuned.</t>
  </si>
  <si>
    <t xml:space="preserve">Performance comparable to expert models with explanations; strong on FakeClue and LOKI.</t>
  </si>
  <si>
    <t xml:space="preserve">Localisation, robustness.</t>
  </si>
  <si>
    <t xml:space="preserve">Explanations may hallucinate; artifact cues coarse vs pixel-level.</t>
  </si>
  <si>
    <t xml:space="preserve">FakeClue for SFT stage of our MLLM.</t>
  </si>
  <si>
    <t xml:space="preserve">LEGION: Learning to Ground and Explain for Synthetic Image Detection</t>
  </si>
  <si>
    <t xml:space="preserve">H. Kang, S. Wen, Z. Wen, J. Ye, W. Li, P. Feng, B. Zhou, B. Wang, D. Lin, L. Zhang, C. He</t>
  </si>
  <si>
    <t xml:space="preserve">ICCV 2025</t>
  </si>
  <si>
    <t xml:space="preserve">https://arxiv.org/abs/2503.15264</t>
  </si>
  <si>
    <t xml:space="preserve">MLLM grounding + explanation</t>
  </si>
  <si>
    <t xml:space="preserve">SynthScars: 12,236 fully synthetic images with pixel-level masks, artifact types and explanations</t>
  </si>
  <si>
    <t xml:space="preserve">MLLM framework for artifact detection, segmentation and explanation; also used as controller to refine generation.</t>
  </si>
  <si>
    <t xml:space="preserve">Fine-grained artifact taxonomy (physics, distortion, structure).</t>
  </si>
  <si>
    <t xml:space="preserve">Outperforms the second-best method by a few mIoU and F1 points on SynthScars.</t>
  </si>
  <si>
    <t xml:space="preserve">Use as generation guidance.</t>
  </si>
  <si>
    <t xml:space="preserve">Masks limited to visible artifacts; dataset modest size.</t>
  </si>
  <si>
    <t xml:space="preserve">SynthScars for grounding reward &amp; localisation evaluation.</t>
  </si>
  <si>
    <t xml:space="preserve">AIGI-Holmes: Towards Explainable and Generalizable AI-Generated Image Detection via Multimodal Large Language Models</t>
  </si>
  <si>
    <t xml:space="preserve">Z. Zhou, Y. Luo, Y. Wu, K. Sun, J. Ji, K. Yan, S. Ding, X. Sun, Y. Wu, R. Ji</t>
  </si>
  <si>
    <t xml:space="preserve">https://arxiv.org/abs/2507.02664</t>
  </si>
  <si>
    <t xml:space="preserve">Holmes-Set: Holmes-SFTSet and Holmes-DPOSet built with Multi-Expert Jury annotation</t>
  </si>
  <si>
    <t xml:space="preserve">Holmes pipeline: visual expert pre-training → SFT → DPO; collaborative decoding merges visual expert perception with MLLM semantic reasoning.</t>
  </si>
  <si>
    <t xml:space="preserve">Addresses MLLM lack of low-level perception.</t>
  </si>
  <si>
    <t xml:space="preserve">Strong generalisation on three benchmarks with human-aligned explanations.</t>
  </si>
  <si>
    <t xml:space="preserve">Better low-level grounding.</t>
  </si>
  <si>
    <t xml:space="preserve">Multi-stage expensive training; jury annotation relies on proprietary LLMs.</t>
  </si>
  <si>
    <t xml:space="preserve">Multi-expert jury annotation + collaborative decoding inspire our evidence card.</t>
  </si>
  <si>
    <t xml:space="preserve">So-Fake: Benchmarking and Explaining Social Media Image Forgery Detection</t>
  </si>
  <si>
    <t xml:space="preserve">Z. Huang, X. Li, X. Yang, B. Peng, X. Huang, B. Wu, D. Tao, M.-H. Yang, G. Cheng</t>
  </si>
  <si>
    <t xml:space="preserve">https://arxiv.org/abs/2505.18660</t>
  </si>
  <si>
    <t xml:space="preserve">MLLM + RL / benchmark</t>
  </si>
  <si>
    <t xml:space="preserve">So-Fake-Set (&gt;2M images from 35 generators) and So-Fake-OOD (100K images from held-out commercial models)</t>
  </si>
  <si>
    <t xml:space="preserve">So-Fake-R1: RL-trained (GRPO) MLLM producing detection, localisation and explanation.</t>
  </si>
  <si>
    <t xml:space="preserve">Applies R1-style RL to forensics.</t>
  </si>
  <si>
    <t xml:space="preserve">Beats the second-best method by 1.3% detection accuracy and 4.5% localisation IoU.</t>
  </si>
  <si>
    <t xml:space="preserve">Preprint; RL compute heavy.</t>
  </si>
  <si>
    <t xml:space="preserve">GRPO reward design reference.</t>
  </si>
  <si>
    <t xml:space="preserve">ThinkFake: Reasoning in Multimodal Large Language Models for AI-Generated Image Detection</t>
  </si>
  <si>
    <t xml:space="preserve">T.-M. Huang, W.-T. Lin, K.-L. Hua, W.-H. Cheng, J. Yamagishi, J.-C. Chen</t>
  </si>
  <si>
    <t xml:space="preserve">https://arxiv.org/abs/2509.19841</t>
  </si>
  <si>
    <t xml:space="preserve">MLLM + GRPO reasoning</t>
  </si>
  <si>
    <t xml:space="preserve">GenImage (train/test), LOKI (zero-shot)</t>
  </si>
  <si>
    <t xml:space="preserve">Forgery reasoning prompt + GRPO with designed rewards for step-by-step structured reasoning.</t>
  </si>
  <si>
    <t xml:space="preserve">Moves beyond SFT explanations.</t>
  </si>
  <si>
    <t xml:space="preserve">Outperforms SOTA on GenImage and shows strong zero-shot on LOKI.</t>
  </si>
  <si>
    <t xml:space="preserve">Code release.</t>
  </si>
  <si>
    <t xml:space="preserve">No numbers in abstract; reward design details unclear.</t>
  </si>
  <si>
    <t xml:space="preserve">GRPO reasoning baseline for our MLLM.</t>
  </si>
  <si>
    <t xml:space="preserve">EvoGuard: An Extensible Agentic RL-based Framework for Practical and Evolving AI-Generated Image Detection</t>
  </si>
  <si>
    <t xml:space="preserve">C. Zhu, M. Wang, J. Liu, C.-C. Chang, I. Echizen</t>
  </si>
  <si>
    <t xml:space="preserve">https://arxiv.org/abs/2603.17343</t>
  </si>
  <si>
    <t xml:space="preserve">Agentic MLLM orchestration</t>
  </si>
  <si>
    <t xml:space="preserve">Multiple AIGI benchmarks</t>
  </si>
  <si>
    <t xml:space="preserve">MLLM agent selects and orchestrates heterogeneous off-the-shelf detectors over multiple rounds; GRPO with binary labels; plug-and-play new detectors.</t>
  </si>
  <si>
    <t xml:space="preserve">Treats detection as evidence synthesis.</t>
  </si>
  <si>
    <t xml:space="preserve">Outperforms single detectors and static ensembles; reduces real/fake bias.</t>
  </si>
  <si>
    <t xml:space="preserve">Preprint; latency of multi-round reasoning.</t>
  </si>
  <si>
    <t xml:space="preserve">Closest prior art to our evidence-conditioned reasoning; we add 3D evidence + grounding reward.</t>
  </si>
  <si>
    <t xml:space="preserve">ReAlign: Generalizable Image Forgery Detection via Reasoning-Aligned Representation</t>
  </si>
  <si>
    <t xml:space="preserve">Q. Huang, Z. Xu, X. Zhang, X. Yu, J. Zhang</t>
  </si>
  <si>
    <t xml:space="preserve">https://arxiv.org/abs/2605.16080</t>
  </si>
  <si>
    <t xml:space="preserve">Reasoning distillation</t>
  </si>
  <si>
    <t xml:space="preserve">AIGCDetectBenchmark, AIGI-Holmes, new UltraSynth-10k</t>
  </si>
  <si>
    <t xml:space="preserve">Distills reasoning texts from a GRPO-optimised LLM into a light detector via image–text contrastive + classification loss.</t>
  </si>
  <si>
    <t xml:space="preserve">MLLM detectors are slow; distil their reasoning.</t>
  </si>
  <si>
    <t xml:space="preserve">Outperforms SOTA in accuracy and generalisation on high-fidelity forgeries.</t>
  </si>
  <si>
    <t xml:space="preserve">Depends on reasoning-text quality.</t>
  </si>
  <si>
    <t xml:space="preserve">Reasoning-distillation stage for efficient deployment of our model.</t>
  </si>
  <si>
    <t xml:space="preserve">Generalizable Detection of AI Generated Images with Large Models and Fuzzy Decision Tree</t>
  </si>
  <si>
    <t xml:space="preserve">F. Wu, G. Ding, Z. Niu, Z. Wang, L. Yang, Z. Zhang, S. Wang</t>
  </si>
  <si>
    <t xml:space="preserve">https://arxiv.org/abs/2603.28508</t>
  </si>
  <si>
    <t xml:space="preserve">MLLM + detector fusion</t>
  </si>
  <si>
    <t xml:space="preserve">Diverse generative models (see paper)</t>
  </si>
  <si>
    <t xml:space="preserve">Fuzzy decision tree fuses lightweight artifact detectors (as fuzzy memberships) with MLLM semantic judgments.</t>
  </si>
  <si>
    <t xml:space="preserve">Artifact detectors overfit; MLLMs lack fine-grained sensitivity.</t>
  </si>
  <si>
    <t xml:space="preserve">Claimed SOTA accuracy and generalisation.</t>
  </si>
  <si>
    <t xml:space="preserve">Preprint; limited detail.</t>
  </si>
  <si>
    <t xml:space="preserve">Supports fusing expert scores with MLLM reasoning.</t>
  </si>
  <si>
    <t xml:space="preserve">Common Sense Reasoning for Deepfake Detection</t>
  </si>
  <si>
    <t xml:space="preserve">Y. Zhang, B. Colman, X. Guo, A. Shahriyari, G. Bharaj</t>
  </si>
  <si>
    <t xml:space="preserve">https://arxiv.org/abs/2402.00126</t>
  </si>
  <si>
    <t xml:space="preserve">VLM reasoning (faces)</t>
  </si>
  <si>
    <t xml:space="preserve">DD-VQA dataset built on FF++ with human common-sense annotations</t>
  </si>
  <si>
    <t xml:space="preserve">Deepfake detection as VQA with text-image contrastive learning to model common-sense reasoning.</t>
  </si>
  <si>
    <t xml:space="preserve">Brings human-like reasoning to deepfake detection.</t>
  </si>
  <si>
    <t xml:space="preserve">Improved detection and explanations vs baselines.</t>
  </si>
  <si>
    <t xml:space="preserve">Extend to general images.</t>
  </si>
  <si>
    <t xml:space="preserve">Face-only.</t>
  </si>
  <si>
    <t xml:space="preserve">Common-sense / physical plausibility questions in our MLLM prompts.</t>
  </si>
  <si>
    <t xml:space="preserve">Shadows Don't Lie and Lines Can't Bend! Generative Models don't know Projective Geometry...for now</t>
  </si>
  <si>
    <t xml:space="preserve">A. Sarkar, H. Mai, A. Mahapatra, S. Lazebnik, D. A. Forsyth, A. Bhattad</t>
  </si>
  <si>
    <t xml:space="preserve">https://arxiv.org/abs/2311.17138</t>
  </si>
  <si>
    <t xml:space="preserve">3D geometry &amp; physics</t>
  </si>
  <si>
    <t xml:space="preserve">3D / projective geometry</t>
  </si>
  <si>
    <t xml:space="preserve">Real (indoor/outdoor) vs generated images from SD and others; object–shadow and line annotations</t>
  </si>
  <si>
    <t xml:space="preserve">Classifiers on geometric representations: line segments, vanishing points, object–shadow relations, depth/normals derived cues.</t>
  </si>
  <si>
    <t xml:space="preserve">Builds on Farid's physics forensics; automates geometric checks.</t>
  </si>
  <si>
    <t xml:space="preserve">Generated images reliably violate projective geometry; geometry-based classifiers detect them even when artifact detectors fail.</t>
  </si>
  <si>
    <t xml:space="preserve">More complex geometric reasoning.</t>
  </si>
  <si>
    <t xml:space="preserve">Scene types limited to man-made structures; requires visible lines/shadows.</t>
  </si>
  <si>
    <t xml:space="preserve">Foundation for our 3D Geometry Expert (E4); we generalise with depth/normal foundation models.</t>
  </si>
  <si>
    <t xml:space="preserve">Perspective (In)consistency of Paint by Text</t>
  </si>
  <si>
    <t xml:space="preserve">H. Farid</t>
  </si>
  <si>
    <t xml:space="preserve">arXiv 2022</t>
  </si>
  <si>
    <t xml:space="preserve">https://arxiv.org/abs/2206.14617</t>
  </si>
  <si>
    <t xml:space="preserve">3D / perspective physics</t>
  </si>
  <si>
    <t xml:space="preserve">DALL·E 2 generated scenes</t>
  </si>
  <si>
    <t xml:space="preserve">Manual vanishing-point analysis of parallel lines in generated scenes.</t>
  </si>
  <si>
    <t xml:space="preserve">Classical physics-based forensics.</t>
  </si>
  <si>
    <t xml:space="preserve">DALL·E 2 images frequently violate consistent perspective.</t>
  </si>
  <si>
    <t xml:space="preserve">Automation.</t>
  </si>
  <si>
    <t xml:space="preserve">Manual, small-scale.</t>
  </si>
  <si>
    <t xml:space="preserve">Vanishing-point consistency score in E4.</t>
  </si>
  <si>
    <t xml:space="preserve">Lighting (In)consistency of Paint by Text</t>
  </si>
  <si>
    <t xml:space="preserve">https://arxiv.org/abs/2207.13744</t>
  </si>
  <si>
    <t xml:space="preserve">3D / lighting physics</t>
  </si>
  <si>
    <t xml:space="preserve">Analyses consistency of shadows and lighting directions in generated images.</t>
  </si>
  <si>
    <t xml:space="preserve">Classical lighting forensics.</t>
  </si>
  <si>
    <t xml:space="preserve">Generated images show inconsistent shadow/lighting geometry.</t>
  </si>
  <si>
    <t xml:space="preserve">Spherical-harmonic lighting fit residual in E4.</t>
  </si>
  <si>
    <t xml:space="preserve">Qualitative Failures of Image Generation Models and Their Application in Detecting Deepfakes</t>
  </si>
  <si>
    <t xml:space="preserve">A. Borji</t>
  </si>
  <si>
    <t xml:space="preserve">Image and Vision Computing 2023</t>
  </si>
  <si>
    <t xml:space="preserve">https://arxiv.org/abs/2304.06470</t>
  </si>
  <si>
    <t xml:space="preserve">Taxonomy / physics</t>
  </si>
  <si>
    <t xml:space="preserve">Examples from DALL·E 2, Midjourney, SD</t>
  </si>
  <si>
    <t xml:space="preserve">Taxonomy of failures: reflections, shadows, geometry, text, hands, physics.</t>
  </si>
  <si>
    <t xml:space="preserve">Survey-style.</t>
  </si>
  <si>
    <t xml:space="preserve">Catalogues common semantic/physical failures useful for detection.</t>
  </si>
  <si>
    <t xml:space="preserve">Use failures as detection cues.</t>
  </si>
  <si>
    <t xml:space="preserve">Qualitative.</t>
  </si>
  <si>
    <t xml:space="preserve">Annotation taxonomy (physics/geometry categories).</t>
  </si>
  <si>
    <t xml:space="preserve">Grab-3D: Detecting AI-Generated Videos from 3D Geometric Temporal Consistency</t>
  </si>
  <si>
    <t xml:space="preserve">W. Chen, S. Karaoglu, T. Gevers</t>
  </si>
  <si>
    <t xml:space="preserve">https://arxiv.org/abs/2512.13665</t>
  </si>
  <si>
    <t xml:space="preserve">3D geometry (video)</t>
  </si>
  <si>
    <t xml:space="preserve">AI-generated video benchmarks</t>
  </si>
  <si>
    <t xml:space="preserve">Represents 3D scene geometry with vanishing points; transformer with geometric positional encoding and temporal-geometric attention checks geometric consistency over time.</t>
  </si>
  <si>
    <t xml:space="preserve">3D consistency as forensic cue.</t>
  </si>
  <si>
    <t xml:space="preserve">Shows 3D geometric inconsistency is a strong generator-agnostic cue for video.</t>
  </si>
  <si>
    <t xml:space="preserve">Needs multiple frames; not directly for single images.</t>
  </si>
  <si>
    <t xml:space="preserve">Evidence that 3D consistency generalises; we adapt to single images via monocular geometry.</t>
  </si>
  <si>
    <t xml:space="preserve">GenImage: A Million-Scale Benchmark for Detecting AI-Generated Image</t>
  </si>
  <si>
    <t xml:space="preserve">M. Zhu, H. Chen, Q. Yan, X. Huang, G. Lin, W. Li, Z. Tu, H. Hu, J. Hu, Y. Wang</t>
  </si>
  <si>
    <t xml:space="preserve">NeurIPS 2023 (D&amp;B)</t>
  </si>
  <si>
    <t xml:space="preserve">https://arxiv.org/abs/2306.08571</t>
  </si>
  <si>
    <t xml:space="preserve">Dataset / benchmark</t>
  </si>
  <si>
    <t xml:space="preserve">~1.33M images; ImageNet reals; 8 generators: SD v1.4, SD v1.5, Midjourney, ADM, GLIDE, Wukong, VQDM, BigGAN</t>
  </si>
  <si>
    <t xml:space="preserve">Benchmark protocols: cross-generator and degraded-image classification; evaluates many detectors.</t>
  </si>
  <si>
    <t xml:space="preserve">Largest public benchmark at release.</t>
  </si>
  <si>
    <t xml:space="preserve">Cross-generator accuracy of standard detectors drops sharply when trained on SDv1.4 and tested on others.</t>
  </si>
  <si>
    <t xml:space="preserve">JPEG/size bias between real (JPEG) and fake (PNG) (Grommelt 2024); ImageNet-only content.</t>
  </si>
  <si>
    <t xml:space="preserve">Main training (SDv1.4) and cross-generator test set (P2) — requires debiasing.</t>
  </si>
  <si>
    <t xml:space="preserve">CIFAKE: Image Classification and Explainable Identification of AI-Generated Synthetic Images</t>
  </si>
  <si>
    <t xml:space="preserve">J. J. Bird, A. Lotfi</t>
  </si>
  <si>
    <t xml:space="preserve">IEEE Access 2024</t>
  </si>
  <si>
    <t xml:space="preserve">https://arxiv.org/abs/2303.14126</t>
  </si>
  <si>
    <t xml:space="preserve">120K 32×32 images (CIFAR-10 reals + SD v1.4 fakes)</t>
  </si>
  <si>
    <t xml:space="preserve">CNN classifier with Grad-CAM explainability.</t>
  </si>
  <si>
    <t xml:space="preserve">Low-resolution synthetic detection.</t>
  </si>
  <si>
    <t xml:space="preserve">High accuracy (~92–93%) with a simple CNN; Grad-CAM shows background artifacts.</t>
  </si>
  <si>
    <t xml:space="preserve">Higher resolution.</t>
  </si>
  <si>
    <t xml:space="preserve">Tiny images, single generator — near-saturated, not representative.</t>
  </si>
  <si>
    <t xml:space="preserve">Kept from old proposal only as low-resolution sanity check.</t>
  </si>
  <si>
    <t xml:space="preserve">Seeing is not always believing: Benchmarking Human and Model Perception of AI-Generated Images (Fake2M / HPBench / MPBench)</t>
  </si>
  <si>
    <t xml:space="preserve">Z. Lu, D. Huang, L. Bai, J. Qu, C. Wu, X. Liu, W. Ouyang</t>
  </si>
  <si>
    <t xml:space="preserve">https://arxiv.org/abs/2304.13023</t>
  </si>
  <si>
    <t xml:space="preserve">Dataset / human study</t>
  </si>
  <si>
    <t xml:space="preserve">Fake2M (&gt;2M images, SD/Midjourney/CogView) + human evaluation benchmark</t>
  </si>
  <si>
    <t xml:space="preserve">Human perception study and model benchmarking; proposes HPBench and MPBench.</t>
  </si>
  <si>
    <t xml:space="preserve">Quantifies human vs model ability.</t>
  </si>
  <si>
    <t xml:space="preserve">Humans misclassify ~38.7% of AI images; model detectors also struggle cross-generator.</t>
  </si>
  <si>
    <t xml:space="preserve">Better detectors.</t>
  </si>
  <si>
    <t xml:space="preserve">Generators now outdated.</t>
  </si>
  <si>
    <t xml:space="preserve">Human baseline statistic for motivation.</t>
  </si>
  <si>
    <t xml:space="preserve">Synthbuster: Towards Detection of Diffusion Model Generated Images</t>
  </si>
  <si>
    <t xml:space="preserve">Q. Bammey</t>
  </si>
  <si>
    <t xml:space="preserve">IEEE Open Journal of Signal Processing 2023</t>
  </si>
  <si>
    <t xml:space="preserve">https://scholar.google.com/scholar?q=Synthbuster+Towards+Detection+of+Diffusion+Model+Generated+Images+Bammey</t>
  </si>
  <si>
    <t xml:space="preserve">RAISE-1k real photos re-generated by 9 DMs (DALL·E 2/3, Midjourney v5, Firefly, SD 1.3/1.4/2/XL, Glide)</t>
  </si>
  <si>
    <t xml:space="preserve">Content-matched prompts; frequency-based detector.</t>
  </si>
  <si>
    <t xml:space="preserve">Content-controlled DM evaluation.</t>
  </si>
  <si>
    <t xml:space="preserve">Shows spectral cues detect DM images but robustness to JPEG is limited.</t>
  </si>
  <si>
    <t xml:space="preserve">Small (9k fakes).</t>
  </si>
  <si>
    <t xml:space="preserve">Content-matched test set in P3.</t>
  </si>
  <si>
    <t xml:space="preserve">Is Artificial Intelligence Generated Image Detection a Solved Problem? (AIGIBench)</t>
  </si>
  <si>
    <t xml:space="preserve">Z. Li, J. Yan, Z. He, K. Zeng, W. Jiang, L. Xiong, Z. Fu</t>
  </si>
  <si>
    <t xml:space="preserve">NeurIPS 2025 (D&amp;B)</t>
  </si>
  <si>
    <t xml:space="preserve">https://arxiv.org/abs/2505.12335</t>
  </si>
  <si>
    <t xml:space="preserve">Benchmark</t>
  </si>
  <si>
    <t xml:space="preserve">23 fake subsets (GAN + DM, incl. latest), real images from social media and AI-art platforms</t>
  </si>
  <si>
    <t xml:space="preserve">Four tasks: multi-source generalisation, degradation robustness, augmentation sensitivity, test-time pre-processing; 11 detectors.</t>
  </si>
  <si>
    <t xml:space="preserve">Real-world stress test.</t>
  </si>
  <si>
    <t xml:space="preserve">Detectors with high lab accuracy drop significantly on real-world data; augmentations give limited help.</t>
  </si>
  <si>
    <t xml:space="preserve">Key in-the-wild test set (P3) and pre-processing protocol.</t>
  </si>
  <si>
    <t xml:space="preserve">OpenFake: An Open Dataset and Platform Toward Real-World Deepfake Detection</t>
  </si>
  <si>
    <t xml:space="preserve">V. Livernoche, A. Arodi, A. Musulan, Z. Yang, A. Salvail, G. M. Caron, J.-F. Godbout, R. Rabbany</t>
  </si>
  <si>
    <t xml:space="preserve">https://arxiv.org/abs/2509.09495</t>
  </si>
  <si>
    <t xml:space="preserve">~3M real captioned images + ~1M synthetic from SOTA proprietary &amp; open generators; in-the-wild social-media test set; CC BY-NC-SA 4.0</t>
  </si>
  <si>
    <t xml:space="preserve">Crowdsourced adversarial platform to keep adding hard fakes.</t>
  </si>
  <si>
    <t xml:space="preserve">Existing benchmarks outdated.</t>
  </si>
  <si>
    <t xml:space="preserve">Detectors trained on OpenFake near-perfect in-distribution and generalise to unseen generators and social media.</t>
  </si>
  <si>
    <t xml:space="preserve">Continuous updating.</t>
  </si>
  <si>
    <t xml:space="preserve">Large; political-content focus.</t>
  </si>
  <si>
    <t xml:space="preserve">Modern-generator training/test source (P3).</t>
  </si>
  <si>
    <t xml:space="preserve">AI-GenBench: A New Ongoing Benchmark for AI-Generated Image Detection</t>
  </si>
  <si>
    <t xml:space="preserve">L. Pellegrini, D. Cozzolino, S. Pandolfini, D. Maltoni, M. Ferrara, L. Verdoliva, M. Prati, M. Ramilli</t>
  </si>
  <si>
    <t xml:space="preserve">arXiv 2025 (IJCNN 2025)</t>
  </si>
  <si>
    <t xml:space="preserve">https://arxiv.org/abs/2504.20865</t>
  </si>
  <si>
    <t xml:space="preserve">Benchmark (temporal)</t>
  </si>
  <si>
    <t xml:space="preserve">Chronologically ordered generators; incremental evaluation</t>
  </si>
  <si>
    <t xml:space="preserve">Temporal protocol: train on older generators, test on newer ones as they appear.</t>
  </si>
  <si>
    <t xml:space="preserve">Simulates real deployment.</t>
  </si>
  <si>
    <t xml:space="preserve">Shows performance degrades on newer generators; frozen foundation features help.</t>
  </si>
  <si>
    <t xml:space="preserve">Ongoing updates.</t>
  </si>
  <si>
    <t xml:space="preserve">Evolving; comparisons shift over time.</t>
  </si>
  <si>
    <t xml:space="preserve">Temporal-generalisation protocol P3b.</t>
  </si>
  <si>
    <t xml:space="preserve">Semi-Truths: A Large-Scale Dataset of AI-Augmented Images for Evaluating Robustness of AI-Generated Image Detectors</t>
  </si>
  <si>
    <t xml:space="preserve">A. Pal, J. Kruk, M. Phute, M. Bhattaram, D. Yang, D. H. Chau, J. Hoffman</t>
  </si>
  <si>
    <t xml:space="preserve">NeurIPS 2024 (D&amp;B)</t>
  </si>
  <si>
    <t xml:space="preserve">https://arxiv.org/abs/2411.07472</t>
  </si>
  <si>
    <t xml:space="preserve">Dataset (local edits)</t>
  </si>
  <si>
    <t xml:space="preserve">Real images with diffusion inpainting/prompt-based edits of varying magnitude, with metadata and masks</t>
  </si>
  <si>
    <t xml:space="preserve">Benchmarks detectors on degree and type of edit.</t>
  </si>
  <si>
    <t xml:space="preserve">Partial manipulations are underexplored.</t>
  </si>
  <si>
    <t xml:space="preserve">Detectors are sensitive to edit magnitude and scene; many fail on subtle edits.</t>
  </si>
  <si>
    <t xml:space="preserve">Local edits only.</t>
  </si>
  <si>
    <t xml:space="preserve">Robustness test for partially synthetic images.</t>
  </si>
  <si>
    <t xml:space="preserve">ImagiNet: A Multi-Content Benchmark for Synthetic Image Detection</t>
  </si>
  <si>
    <t xml:space="preserve">D. Boychev, R. Cholakov</t>
  </si>
  <si>
    <t xml:space="preserve">https://arxiv.org/abs/2407.20020</t>
  </si>
  <si>
    <t xml:space="preserve">~200K images: photos, paintings, faces, miscellaneous; GAN + DM</t>
  </si>
  <si>
    <t xml:space="preserve">Self-supervised contrastive baseline; multi-content evaluation.</t>
  </si>
  <si>
    <t xml:space="preserve">Content diversity.</t>
  </si>
  <si>
    <t xml:space="preserve">Shows detectors struggle across content types.</t>
  </si>
  <si>
    <t xml:space="preserve">Moderate size.</t>
  </si>
  <si>
    <t xml:space="preserve">Content-type evaluation (art, faces).</t>
  </si>
  <si>
    <t xml:space="preserve">Real-Time Deepfake Detection in the Real-World (LaDeDa + WildRF)</t>
  </si>
  <si>
    <t xml:space="preserve">B. Cavia, E. Horwitz, T. Reiss, Y. Hoshen</t>
  </si>
  <si>
    <t xml:space="preserve">https://arxiv.org/abs/2406.09398</t>
  </si>
  <si>
    <t xml:space="preserve">Dataset + efficient detector</t>
  </si>
  <si>
    <t xml:space="preserve">WildRF: real/fake images collected from Reddit, Facebook, Twitter</t>
  </si>
  <si>
    <t xml:space="preserve">LaDeDa: patch-level (9×9) detector with aggregation; Tiny-LaDeDa distilled for edge.</t>
  </si>
  <si>
    <t xml:space="preserve">Academic benchmarks over-optimistic.</t>
  </si>
  <si>
    <t xml:space="preserve">Near-perfect on academic sets but notably lower on WildRF, exposing real-world gap.</t>
  </si>
  <si>
    <t xml:space="preserve">Small in-the-wild set.</t>
  </si>
  <si>
    <t xml:space="preserve">WildRF as in-the-wild test (P3).</t>
  </si>
  <si>
    <t xml:space="preserve">Online Detection of AI-Generated Images</t>
  </si>
  <si>
    <t xml:space="preserve">D. C. Epstein, I. Jain, O. Wang, R. Zhang</t>
  </si>
  <si>
    <t xml:space="preserve">ICCV Workshops 2023</t>
  </si>
  <si>
    <t xml:space="preserve">https://arxiv.org/abs/2310.15150</t>
  </si>
  <si>
    <t xml:space="preserve">Temporal / online</t>
  </si>
  <si>
    <t xml:space="preserve">14 generators in release order + inpainting</t>
  </si>
  <si>
    <t xml:space="preserve">Online training simulating chronological generator releases; pixel-level inpainting detection.</t>
  </si>
  <si>
    <t xml:space="preserve">Realistic deployment framing.</t>
  </si>
  <si>
    <t xml:space="preserve">Detectors generalise to new generators when trained on recent ones; inpainting data aids detection.</t>
  </si>
  <si>
    <t xml:space="preserve">Generators somewhat outdated.</t>
  </si>
  <si>
    <t xml:space="preserve">Temporal protocol.</t>
  </si>
  <si>
    <t xml:space="preserve">TextureCrop: Enhancing Synthetic Image Detection through Texture-based Cropping</t>
  </si>
  <si>
    <t xml:space="preserve">D. Konstantinidou, C. Koutlis, S. Papadopoulos</t>
  </si>
  <si>
    <t xml:space="preserve">arXiv 2024 (WACV-W 2025)</t>
  </si>
  <si>
    <t xml:space="preserve">https://arxiv.org/abs/2407.15500</t>
  </si>
  <si>
    <t xml:space="preserve">Pre-processing</t>
  </si>
  <si>
    <t xml:space="preserve">High-resolution Synthbuster, FORLAB-like sets</t>
  </si>
  <si>
    <t xml:space="preserve">Inference-time texture-based crop selection for high-resolution images instead of resizing.</t>
  </si>
  <si>
    <t xml:space="preserve">Resizing destroys artifacts.</t>
  </si>
  <si>
    <t xml:space="preserve">Consistent AUC gains for multiple detectors on high-res images.</t>
  </si>
  <si>
    <t xml:space="preserve">Inference only.</t>
  </si>
  <si>
    <t xml:space="preserve">Texture-aware multi-crop inference in E1.</t>
  </si>
  <si>
    <t xml:space="preserve">RAID: A Dataset for Testing the Adversarial Robustness of AI-Generated Image Detectors</t>
  </si>
  <si>
    <t xml:space="preserve">H. Eddoubi, J. Ricker, F. Cocchi, L. Baraldi, A. Sotgiu, M. Pintor, M. Cornia, A. Fischer, R. Cucchiara, B. Biggio</t>
  </si>
  <si>
    <t xml:space="preserve">https://arxiv.org/abs/2506.03988</t>
  </si>
  <si>
    <t xml:space="preserve">Adversarial robustness</t>
  </si>
  <si>
    <t xml:space="preserve">Adversarial benchmark</t>
  </si>
  <si>
    <t xml:space="preserve">~72K transferable adversarial examples from attacks on an ensemble of 7 detectors, 4 T2I generators</t>
  </si>
  <si>
    <t xml:space="preserve">Ensemble attacks to create transferable adversarial examples for black-box robustness evaluation.</t>
  </si>
  <si>
    <t xml:space="preserve">Lack of standard adversarial benchmark.</t>
  </si>
  <si>
    <t xml:space="preserve">Adversarial images transfer with high success to unseen detectors — current detectors easily deceived.</t>
  </si>
  <si>
    <t xml:space="preserve">Robust detectors.</t>
  </si>
  <si>
    <t xml:space="preserve">Proxy estimate, not full adaptive attack.</t>
  </si>
  <si>
    <t xml:space="preserve">Black-box transfer robustness test (P5).</t>
  </si>
  <si>
    <t xml:space="preserve">Evading Deepfake-Image Detectors with White- and Black-Box Attacks</t>
  </si>
  <si>
    <t xml:space="preserve">N. Carlini, H. Farid</t>
  </si>
  <si>
    <t xml:space="preserve">CVPR Workshops 2020</t>
  </si>
  <si>
    <t xml:space="preserve">https://arxiv.org/abs/2004.00622</t>
  </si>
  <si>
    <t xml:space="preserve">Adversarial attack</t>
  </si>
  <si>
    <t xml:space="preserve">ForenSynths / CNNSpot detector</t>
  </si>
  <si>
    <t xml:space="preserve">White-box (sparse, distortion-minimising) and black-box (universal patch / transfer) attacks on CNNSpot.</t>
  </si>
  <si>
    <t xml:space="preserve">First attack study on synthetic image detectors.</t>
  </si>
  <si>
    <t xml:space="preserve">Tiny perturbations reduce detector AUC to near zero; universal attacks transfer.</t>
  </si>
  <si>
    <t xml:space="preserve">Single detector type.</t>
  </si>
  <si>
    <t xml:space="preserve">Threat model for P5.</t>
  </si>
  <si>
    <t xml:space="preserve">Evading DeepFake Detectors via Adversarial Statistical Consistency Attack</t>
  </si>
  <si>
    <t xml:space="preserve">Y. Hou, Q. Guo, Y. Huang, X. Xie, L. Ma, J. Zhao</t>
  </si>
  <si>
    <t xml:space="preserve">https://arxiv.org/abs/2304.11670</t>
  </si>
  <si>
    <t xml:space="preserve">Face deepfake and GAN image detectors</t>
  </si>
  <si>
    <t xml:space="preserve">Statistical-consistency attack aligning natural statistics (spectra, noise) of fakes with real images while fooling detectors.</t>
  </si>
  <si>
    <t xml:space="preserve">Attacks that also defeat statistics-based detectors.</t>
  </si>
  <si>
    <t xml:space="preserve">High attack success with better transferability than PGD.</t>
  </si>
  <si>
    <t xml:space="preserve">Defences.</t>
  </si>
  <si>
    <t xml:space="preserve">Face-centric.</t>
  </si>
  <si>
    <t xml:space="preserve">Statistics-aware attack in our evaluation suite.</t>
  </si>
  <si>
    <t xml:space="preserve">Robustness of AI-Image Detectors: Fundamental Limits and Practical Attacks</t>
  </si>
  <si>
    <t xml:space="preserve">M. Saberi, V. S. Sadasivan, K. Rezaei, A. Kumar, A. Chegini, W. Wang, S. Feizi</t>
  </si>
  <si>
    <t xml:space="preserve">ICLR 2024</t>
  </si>
  <si>
    <t xml:space="preserve">https://arxiv.org/abs/2310.00076</t>
  </si>
  <si>
    <t xml:space="preserve">Adversarial theory</t>
  </si>
  <si>
    <t xml:space="preserve">Watermarked images (Tree-Ring, StegaStamp etc.) and classifier detectors</t>
  </si>
  <si>
    <t xml:space="preserve">Proves trade-off between evasion and spoofing for watermarks; diffusion purification attack; adversarial attacks on deepfake classifiers.</t>
  </si>
  <si>
    <t xml:space="preserve">Theory of detection limits.</t>
  </si>
  <si>
    <t xml:space="preserve">Low-perturbation watermarks are removable by diffusion purification; classifier detectors vulnerable to small adversarial perturbations.</t>
  </si>
  <si>
    <t xml:space="preserve">Robust provenance.</t>
  </si>
  <si>
    <t xml:space="preserve">Pessimistic; mitigation limited.</t>
  </si>
  <si>
    <t xml:space="preserve">Diffusion-purification attack included in P5.</t>
  </si>
  <si>
    <t xml:space="preserve">Adversarial Robustness of AI-Generated Image Detectors in the Real World</t>
  </si>
  <si>
    <t xml:space="preserve">S. Mavali, J. Ricker, D. Pape, A. Fischer, L. Schönherr</t>
  </si>
  <si>
    <t xml:space="preserve">arXiv 2024 (v4 2026)</t>
  </si>
  <si>
    <t xml:space="preserve">https://arxiv.org/abs/2410.01574</t>
  </si>
  <si>
    <t xml:space="preserve">4 detectors, 5 attacks; commercial HIVE detector</t>
  </si>
  <si>
    <t xml:space="preserve">Black-box/transfer attacks under social-media degradation; robust pre-trained features as defence.</t>
  </si>
  <si>
    <t xml:space="preserve">Real-world threat model.</t>
  </si>
  <si>
    <t xml:space="preserve">Attacks remain effective after social-media upload; commercial HIVE also vulnerable; robust features help partially.</t>
  </si>
  <si>
    <t xml:space="preserve">Stronger defences.</t>
  </si>
  <si>
    <t xml:space="preserve">Defence still below clean performance.</t>
  </si>
  <si>
    <t xml:space="preserve">Supports robust-backbone + adversarial training in our design.</t>
  </si>
  <si>
    <t xml:space="preserve">Vulnerabilities in AI-generated Image Detection: The Challenge of Adversarial Attacks (FPBA)</t>
  </si>
  <si>
    <t xml:space="preserve">Y. Diao, N. Zhai, C. Miao, Z. Yu, X. Wei, X. Yang, M. Wang</t>
  </si>
  <si>
    <t xml:space="preserve">https://arxiv.org/abs/2407.20836</t>
  </si>
  <si>
    <t xml:space="preserve">GenImage, Synthbuster etc. across CNN/ViT/CLIP detectors</t>
  </si>
  <si>
    <t xml:space="preserve">Frequency-based Post-train Bayesian Attack: perturbations in frequency domain + Bayesian surrogate for transferability.</t>
  </si>
  <si>
    <t xml:space="preserve">Frequency-domain transfer attacks.</t>
  </si>
  <si>
    <t xml:space="preserve">High attack success across detector families and to commercial-style detectors.</t>
  </si>
  <si>
    <t xml:space="preserve">Attack paper only.</t>
  </si>
  <si>
    <t xml:space="preserve">Frequency-domain attack in P5 (adaptive attacks against E1).</t>
  </si>
  <si>
    <t xml:space="preserve">Training-Free Reconstruction-Based AI-Generated Image Detectors Are Inherently Vulnerable to Adversarial Examples</t>
  </si>
  <si>
    <t xml:space="preserve">R. Demchenko, J. Ricker, A. Fischer</t>
  </si>
  <si>
    <t xml:space="preserve">https://arxiv.org/abs/2608.16646</t>
  </si>
  <si>
    <t xml:space="preserve">Three reconstruction-based detectors; images from three SOTA generators</t>
  </si>
  <si>
    <t xml:space="preserve">Two attacks that increase image–reconstruction distance imperceptibly.</t>
  </si>
  <si>
    <t xml:space="preserve">Reconstruction detectors assumed robust.</t>
  </si>
  <si>
    <t xml:space="preserve">Significant detection drop, persists under degradation; transfers across detectors.</t>
  </si>
  <si>
    <t xml:space="preserve">Justifies not relying on E3 alone and adversarially training fusion.</t>
  </si>
  <si>
    <t xml:space="preserve">Towards Deep Learning Models Resistant to Adversarial Attacks (PGD-AT)</t>
  </si>
  <si>
    <t xml:space="preserve">A. Madry, A. Makelov, L. Schmidt, D. Tsipras, A. Vladu</t>
  </si>
  <si>
    <t xml:space="preserve">ICLR 2018</t>
  </si>
  <si>
    <t xml:space="preserve">https://arxiv.org/abs/1706.06083</t>
  </si>
  <si>
    <t xml:space="preserve">Adversarial training (foundation)</t>
  </si>
  <si>
    <t xml:space="preserve">MNIST, CIFAR-10</t>
  </si>
  <si>
    <t xml:space="preserve">Min–max robust optimisation with PGD inner maximisation.</t>
  </si>
  <si>
    <t xml:space="preserve">Foundation of adversarial training.</t>
  </si>
  <si>
    <t xml:space="preserve">Robust models against first-order adversaries.</t>
  </si>
  <si>
    <t xml:space="preserve">Costly; clean-accuracy drop.</t>
  </si>
  <si>
    <t xml:space="preserve">PGD-AT carried over from old proposal.</t>
  </si>
  <si>
    <t xml:space="preserve">Theoretically Principled Trade-off between Robustness and Accuracy (TRADES)</t>
  </si>
  <si>
    <t xml:space="preserve">H. Zhang, Y. Yu, J. Jiao, E. P. Xing, L. El Ghaoui, M. I. Jordan</t>
  </si>
  <si>
    <t xml:space="preserve">ICML 2019</t>
  </si>
  <si>
    <t xml:space="preserve">https://arxiv.org/abs/1901.08573</t>
  </si>
  <si>
    <t xml:space="preserve">Clean CE + β·KL between clean and adversarial predictions.</t>
  </si>
  <si>
    <t xml:space="preserve">Improves PGD-AT trade-off.</t>
  </si>
  <si>
    <t xml:space="preserve">Better robustness–accuracy trade-off; won NeurIPS 2018 adversarial vision challenge.</t>
  </si>
  <si>
    <t xml:space="preserve">Costly.</t>
  </si>
  <si>
    <t xml:space="preserve">TRADES loss used in our robust training stage.</t>
  </si>
  <si>
    <t xml:space="preserve">Tree-Ring Watermarks: Fingerprints for Diffusion Images that are Invisible and Robust</t>
  </si>
  <si>
    <t xml:space="preserve">Y. Wen, J. Kirchenbauer, J. Geiping, T. Goldstein</t>
  </si>
  <si>
    <t xml:space="preserve">NeurIPS 2023</t>
  </si>
  <si>
    <t xml:space="preserve">https://arxiv.org/abs/2305.20030</t>
  </si>
  <si>
    <t xml:space="preserve">Proactive provenance (watermark)</t>
  </si>
  <si>
    <t xml:space="preserve">Watermark (proactive)</t>
  </si>
  <si>
    <t xml:space="preserve">SD-generated images; COCO prompts</t>
  </si>
  <si>
    <t xml:space="preserve">Embeds pattern in Fourier space of initial noise; detection via DDIM inversion.</t>
  </si>
  <si>
    <t xml:space="preserve">Proactive provenance vs passive detection.</t>
  </si>
  <si>
    <t xml:space="preserve">Robust to many transformations with negligible quality loss.</t>
  </si>
  <si>
    <t xml:space="preserve">Only works if generator cooperates; removable by attacks (Saberi 2024).</t>
  </si>
  <si>
    <t xml:space="preserve">Discussed as complementary; not relied on.</t>
  </si>
  <si>
    <t xml:space="preserve">The Stable Signature: Rooting Watermarks in Latent Diffusion Models</t>
  </si>
  <si>
    <t xml:space="preserve">P. Fernandez, G. Couairon, H. Jégou, M. Douze, T. Furon</t>
  </si>
  <si>
    <t xml:space="preserve">https://arxiv.org/abs/2303.15435</t>
  </si>
  <si>
    <t xml:space="preserve">SD-generated images</t>
  </si>
  <si>
    <t xml:space="preserve">Fine-tunes LDM decoder so all outputs carry a binary signature.</t>
  </si>
  <si>
    <t xml:space="preserve">In-model watermarking.</t>
  </si>
  <si>
    <t xml:space="preserve">Detects &gt;90% of generated images even after cropping at very low FPR.</t>
  </si>
  <si>
    <t xml:space="preserve">Open-source models can be modified to remove it.</t>
  </si>
  <si>
    <t xml:space="preserve">Complementary; motivates passive detection.</t>
  </si>
  <si>
    <t xml:space="preserve">Number of papers</t>
  </si>
  <si>
    <t xml:space="preserve">Share</t>
  </si>
  <si>
    <t xml:space="preserve">Total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</si>
  <si>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</si>
  <si>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</si>
  <si>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</si>
  <si>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</si>
  <si>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</si>
  <si>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</si>
  <si>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</si>
  <si>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</si>
  <si>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</si>
  <si>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How to read this sheet</t>
  </si>
  <si>
    <t xml:space="preserve">• Results are as reported by the paper's authors (abstract / main tables). Numbers are approximate where marked '~'; consult the paper for exact tables before citing numbers in the manuscript.</t>
  </si>
  <si>
    <t xml:space="preserve">• Links go to arXiv when an arXiv ID was confirmed; otherwise to the official venue page or a Google Scholar search for the exact title.</t>
  </si>
  <si>
    <t xml:space="preserve">• For very recent preprints (2025–2026) only the abstract-level information was available; their 'Future Work' / 'Weakness' cells are flagged accordingly ('Preprint', '—').</t>
  </si>
  <si>
    <t xml:space="preserve">• 'How We Use It' maps each paper to a component of the proposed PRISM framework: E1 = low-level artifact &amp; spectral expert, E2 = foundation-model semantic expert, E3 = generative-reconstruction expert, E4 = 3D geometry &amp; physics expert, MLLM = evidence-conditioned reasoning layer, P1–P7 = evaluation protocols.</t>
  </si>
  <si>
    <t xml:space="preserve">• Use the filter on the 'Theme' column of 'Paper Review' to read papers by theme; the 'Summary' tab counts papers per theme and year with live formulas.</t>
  </si>
  <si>
    <t xml:space="preserve">Compiled 11 Oct 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</si>
</sst>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rxiv.org/abs/1912.11035" TargetMode="External"/><Relationship Id="rId2" Type="http://schemas.openxmlformats.org/officeDocument/2006/relationships/hyperlink" Target="https://arxiv.org/abs/2003.08685" TargetMode="External"/><Relationship Id="rId3" Type="http://schemas.openxmlformats.org/officeDocument/2006/relationships/hyperlink" Target="https://arxiv.org/abs/2003.01826" TargetMode="External"/><Relationship Id="rId4" Type="http://schemas.openxmlformats.org/officeDocument/2006/relationships/hyperlink" Target="https://arxiv.org/abs/1907.06515" TargetMode="External"/><Relationship Id="rId5" Type="http://schemas.openxmlformats.org/officeDocument/2006/relationships/hyperlink" Target="https://arxiv.org/abs/1812.11842" TargetMode="External"/><Relationship Id="rId6" Type="http://schemas.openxmlformats.org/officeDocument/2006/relationships/hyperlink" Target="https://arxiv.org/abs/2008.10588" TargetMode="External"/><Relationship Id="rId7" Type="http://schemas.openxmlformats.org/officeDocument/2006/relationships/hyperlink" Target="https://arxiv.org/abs/2104.02617" TargetMode="External"/><Relationship Id="rId8" Type="http://schemas.openxmlformats.org/officeDocument/2006/relationships/hyperlink" Target="https://scholar.google.com/scholar?q=Detecting+Generated+Images+by+Real+Images+ECCV+2022" TargetMode="External"/><Relationship Id="rId9" Type="http://schemas.openxmlformats.org/officeDocument/2006/relationships/hyperlink" Target="https://scholar.google.com/scholar?q=Learning+on+Gradients+Generalized+Artifacts+Representation+GAN-Generated+Images+Detection" TargetMode="External"/><Relationship Id="rId10" Type="http://schemas.openxmlformats.org/officeDocument/2006/relationships/hyperlink" Target="https://arxiv.org/abs/2312.10461" TargetMode="External"/><Relationship Id="rId11" Type="http://schemas.openxmlformats.org/officeDocument/2006/relationships/hyperlink" Target="https://arxiv.org/abs/2403.07240" TargetMode="External"/><Relationship Id="rId12" Type="http://schemas.openxmlformats.org/officeDocument/2006/relationships/hyperlink" Target="https://arxiv.org/abs/2311.12397" TargetMode="External"/><Relationship Id="rId13" Type="http://schemas.openxmlformats.org/officeDocument/2006/relationships/hyperlink" Target="https://arxiv.org/abs/2211.00680" TargetMode="External"/><Relationship Id="rId14" Type="http://schemas.openxmlformats.org/officeDocument/2006/relationships/hyperlink" Target="https://arxiv.org/abs/2304.06408" TargetMode="External"/><Relationship Id="rId15" Type="http://schemas.openxmlformats.org/officeDocument/2006/relationships/hyperlink" Target="https://arxiv.org/abs/2210.14571" TargetMode="External"/><Relationship Id="rId16" Type="http://schemas.openxmlformats.org/officeDocument/2006/relationships/hyperlink" Target="https://arxiv.org/abs/2403.17608" TargetMode="External"/><Relationship Id="rId17" Type="http://schemas.openxmlformats.org/officeDocument/2006/relationships/hyperlink" Target="https://arxiv.org/abs/2402.01123" TargetMode="External"/><Relationship Id="rId18" Type="http://schemas.openxmlformats.org/officeDocument/2006/relationships/hyperlink" Target="https://arxiv.org/abs/2408.06741" TargetMode="External"/><Relationship Id="rId19" Type="http://schemas.openxmlformats.org/officeDocument/2006/relationships/hyperlink" Target="https://arxiv.org/abs/2411.19417" TargetMode="External"/><Relationship Id="rId20" Type="http://schemas.openxmlformats.org/officeDocument/2006/relationships/hyperlink" Target="https://arxiv.org/abs/2406.19435" TargetMode="External"/><Relationship Id="rId21" Type="http://schemas.openxmlformats.org/officeDocument/2006/relationships/hyperlink" Target="https://scholar.google.com/scholar?q=Breaking+Semantic+Artifacts+for+Generalized+AI-generated+Image+Detection" TargetMode="External"/><Relationship Id="rId22" Type="http://schemas.openxmlformats.org/officeDocument/2006/relationships/hyperlink" Target="https://arxiv.org/abs/2410.11835" TargetMode="External"/><Relationship Id="rId23" Type="http://schemas.openxmlformats.org/officeDocument/2006/relationships/hyperlink" Target="https://scholar.google.com/scholar?q=Stay-Positive+A+Case+for+Ignoring+Real+Image+Features+in+Fake+Image+Detection" TargetMode="External"/><Relationship Id="rId24" Type="http://schemas.openxmlformats.org/officeDocument/2006/relationships/hyperlink" Target="https://arxiv.org/abs/2303.09295" TargetMode="External"/><Relationship Id="rId25" Type="http://schemas.openxmlformats.org/officeDocument/2006/relationships/hyperlink" Target="https://arxiv.org/abs/2401.17879" TargetMode="External"/><Relationship Id="rId26" Type="http://schemas.openxmlformats.org/officeDocument/2006/relationships/hyperlink" Target="https://arxiv.org/abs/2403.17465" TargetMode="External"/><Relationship Id="rId27" Type="http://schemas.openxmlformats.org/officeDocument/2006/relationships/hyperlink" Target="https://arxiv.org/abs/2406.08603" TargetMode="External"/><Relationship Id="rId28" Type="http://schemas.openxmlformats.org/officeDocument/2006/relationships/hyperlink" Target="https://scholar.google.com/scholar?q=DRCT+Diffusion+Reconstruction+Contrastive+Training+towards+Universal+Detection+of+Diffusion+Generated+Images" TargetMode="External"/><Relationship Id="rId29" Type="http://schemas.openxmlformats.org/officeDocument/2006/relationships/hyperlink" Target="https://arxiv.org/abs/2412.07140" TargetMode="External"/><Relationship Id="rId30" Type="http://schemas.openxmlformats.org/officeDocument/2006/relationships/hyperlink" Target="https://openaccess.thecvf.com/content/CVPR2026/html/Qi_A_Difference-in-Difference_Approach_to_Detecting_AI-Generated_Images_CVPR_2026_paper.html" TargetMode="External"/><Relationship Id="rId31" Type="http://schemas.openxmlformats.org/officeDocument/2006/relationships/hyperlink" Target="https://cvpr.thecvf.com/virtual/2026/poster/39565" TargetMode="External"/><Relationship Id="rId32" Type="http://schemas.openxmlformats.org/officeDocument/2006/relationships/hyperlink" Target="https://arxiv.org/abs/2409.15875" TargetMode="External"/><Relationship Id="rId33" Type="http://schemas.openxmlformats.org/officeDocument/2006/relationships/hyperlink" Target="https://arxiv.org/abs/2405.20112" TargetMode="External"/><Relationship Id="rId34" Type="http://schemas.openxmlformats.org/officeDocument/2006/relationships/hyperlink" Target="https://scholar.google.com/scholar?q=Manifold+Induced+Biases+for+Zero-shot+and+Few-shot+Detection+of+Generated+Images" TargetMode="External"/><Relationship Id="rId35" Type="http://schemas.openxmlformats.org/officeDocument/2006/relationships/hyperlink" Target="https://arxiv.org/abs/2603.21619" TargetMode="External"/><Relationship Id="rId36" Type="http://schemas.openxmlformats.org/officeDocument/2006/relationships/hyperlink" Target="https://scholar.google.com/scholar?q=Forensic+Self-Descriptions+Are+All+You+Need+Zero-Shot+Detection+Open-Set+Source+Attribution" TargetMode="External"/><Relationship Id="rId37" Type="http://schemas.openxmlformats.org/officeDocument/2006/relationships/hyperlink" Target="https://arxiv.org/abs/2302.10174" TargetMode="External"/><Relationship Id="rId38" Type="http://schemas.openxmlformats.org/officeDocument/2006/relationships/hyperlink" Target="https://arxiv.org/abs/2312.00195" TargetMode="External"/><Relationship Id="rId39" Type="http://schemas.openxmlformats.org/officeDocument/2006/relationships/hyperlink" Target="https://arxiv.org/abs/2210.06998" TargetMode="External"/><Relationship Id="rId40" Type="http://schemas.openxmlformats.org/officeDocument/2006/relationships/hyperlink" Target="https://arxiv.org/abs/2305.13800" TargetMode="External"/><Relationship Id="rId41" Type="http://schemas.openxmlformats.org/officeDocument/2006/relationships/hyperlink" Target="https://arxiv.org/abs/2312.16649" TargetMode="External"/><Relationship Id="rId42" Type="http://schemas.openxmlformats.org/officeDocument/2006/relationships/hyperlink" Target="https://arxiv.org/abs/2402.12927" TargetMode="External"/><Relationship Id="rId43" Type="http://schemas.openxmlformats.org/officeDocument/2006/relationships/hyperlink" Target="https://arxiv.org/abs/2402.19091" TargetMode="External"/><Relationship Id="rId44" Type="http://schemas.openxmlformats.org/officeDocument/2006/relationships/hyperlink" Target="https://arxiv.org/abs/2310.17419" TargetMode="External"/><Relationship Id="rId45" Type="http://schemas.openxmlformats.org/officeDocument/2006/relationships/hyperlink" Target="https://arxiv.org/abs/2408.09647" TargetMode="External"/><Relationship Id="rId46" Type="http://schemas.openxmlformats.org/officeDocument/2006/relationships/hyperlink" Target="https://arxiv.org/abs/2411.15633" TargetMode="External"/><Relationship Id="rId47" Type="http://schemas.openxmlformats.org/officeDocument/2006/relationships/hyperlink" Target="https://arxiv.org/abs/2503.18286" TargetMode="External"/><Relationship Id="rId48" Type="http://schemas.openxmlformats.org/officeDocument/2006/relationships/hyperlink" Target="https://arxiv.org/abs/2412.17671" TargetMode="External"/><Relationship Id="rId49" Type="http://schemas.openxmlformats.org/officeDocument/2006/relationships/hyperlink" Target="https://arxiv.org/abs/2505.14359" TargetMode="External"/><Relationship Id="rId50" Type="http://schemas.openxmlformats.org/officeDocument/2006/relationships/hyperlink" Target="https://arxiv.org/abs/2411.04125" TargetMode="External"/><Relationship Id="rId51" Type="http://schemas.openxmlformats.org/officeDocument/2006/relationships/hyperlink" Target="https://arxiv.org/abs/2501.08763" TargetMode="External"/><Relationship Id="rId52" Type="http://schemas.openxmlformats.org/officeDocument/2006/relationships/hyperlink" Target="https://arxiv.org/abs/2508.01603" TargetMode="External"/><Relationship Id="rId53" Type="http://schemas.openxmlformats.org/officeDocument/2006/relationships/hyperlink" Target="https://arxiv.org/abs/2511.22471" TargetMode="External"/><Relationship Id="rId54" Type="http://schemas.openxmlformats.org/officeDocument/2006/relationships/hyperlink" Target="https://arxiv.org/abs/2608.04935" TargetMode="External"/><Relationship Id="rId55" Type="http://schemas.openxmlformats.org/officeDocument/2006/relationships/hyperlink" Target="https://arxiv.org/abs/2512.12982" TargetMode="External"/><Relationship Id="rId56" Type="http://schemas.openxmlformats.org/officeDocument/2006/relationships/hyperlink" Target="https://arxiv.org/abs/2605.24906" TargetMode="External"/><Relationship Id="rId57" Type="http://schemas.openxmlformats.org/officeDocument/2006/relationships/hyperlink" Target="https://openaccess.thecvf.com/content/CVPR2026/html/Hu_SAIDO_Generalizable_Detection_of_AI-Generated_Images_via_Scene-Aware_and_Importance-Guided_CVPR_2026_paper.html" TargetMode="External"/><Relationship Id="rId58" Type="http://schemas.openxmlformats.org/officeDocument/2006/relationships/hyperlink" Target="https://arxiv.org/abs/2404.04584" TargetMode="External"/><Relationship Id="rId59" Type="http://schemas.openxmlformats.org/officeDocument/2006/relationships/hyperlink" Target="https://arxiv.org/abs/2403.14077" TargetMode="External"/><Relationship Id="rId60" Type="http://schemas.openxmlformats.org/officeDocument/2006/relationships/hyperlink" Target="https://arxiv.org/abs/2404.13306" TargetMode="External"/><Relationship Id="rId61" Type="http://schemas.openxmlformats.org/officeDocument/2006/relationships/hyperlink" Target="https://arxiv.org/abs/2410.09732" TargetMode="External"/><Relationship Id="rId62" Type="http://schemas.openxmlformats.org/officeDocument/2006/relationships/hyperlink" Target="https://arxiv.org/abs/2410.02761" TargetMode="External"/><Relationship Id="rId63" Type="http://schemas.openxmlformats.org/officeDocument/2006/relationships/hyperlink" Target="https://arxiv.org/abs/2412.04292" TargetMode="External"/><Relationship Id="rId64" Type="http://schemas.openxmlformats.org/officeDocument/2006/relationships/hyperlink" Target="https://arxiv.org/abs/2503.14905" TargetMode="External"/><Relationship Id="rId65" Type="http://schemas.openxmlformats.org/officeDocument/2006/relationships/hyperlink" Target="https://arxiv.org/abs/2503.15264" TargetMode="External"/><Relationship Id="rId66" Type="http://schemas.openxmlformats.org/officeDocument/2006/relationships/hyperlink" Target="https://arxiv.org/abs/2507.02664" TargetMode="External"/><Relationship Id="rId67" Type="http://schemas.openxmlformats.org/officeDocument/2006/relationships/hyperlink" Target="https://arxiv.org/abs/2505.18660" TargetMode="External"/><Relationship Id="rId68" Type="http://schemas.openxmlformats.org/officeDocument/2006/relationships/hyperlink" Target="https://arxiv.org/abs/2509.19841" TargetMode="External"/><Relationship Id="rId69" Type="http://schemas.openxmlformats.org/officeDocument/2006/relationships/hyperlink" Target="https://arxiv.org/abs/2603.17343" TargetMode="External"/><Relationship Id="rId70" Type="http://schemas.openxmlformats.org/officeDocument/2006/relationships/hyperlink" Target="https://arxiv.org/abs/2605.16080" TargetMode="External"/><Relationship Id="rId71" Type="http://schemas.openxmlformats.org/officeDocument/2006/relationships/hyperlink" Target="https://arxiv.org/abs/2603.28508" TargetMode="External"/><Relationship Id="rId72" Type="http://schemas.openxmlformats.org/officeDocument/2006/relationships/hyperlink" Target="https://arxiv.org/abs/2402.00126" TargetMode="External"/><Relationship Id="rId73" Type="http://schemas.openxmlformats.org/officeDocument/2006/relationships/hyperlink" Target="https://arxiv.org/abs/2311.17138" TargetMode="External"/><Relationship Id="rId74" Type="http://schemas.openxmlformats.org/officeDocument/2006/relationships/hyperlink" Target="https://arxiv.org/abs/2206.14617" TargetMode="External"/><Relationship Id="rId75" Type="http://schemas.openxmlformats.org/officeDocument/2006/relationships/hyperlink" Target="https://arxiv.org/abs/2207.13744" TargetMode="External"/><Relationship Id="rId76" Type="http://schemas.openxmlformats.org/officeDocument/2006/relationships/hyperlink" Target="https://arxiv.org/abs/2304.06470" TargetMode="External"/><Relationship Id="rId77" Type="http://schemas.openxmlformats.org/officeDocument/2006/relationships/hyperlink" Target="https://arxiv.org/abs/2512.13665" TargetMode="External"/><Relationship Id="rId78" Type="http://schemas.openxmlformats.org/officeDocument/2006/relationships/hyperlink" Target="https://arxiv.org/abs/2306.08571" TargetMode="External"/><Relationship Id="rId79" Type="http://schemas.openxmlformats.org/officeDocument/2006/relationships/hyperlink" Target="https://arxiv.org/abs/2303.14126" TargetMode="External"/><Relationship Id="rId80" Type="http://schemas.openxmlformats.org/officeDocument/2006/relationships/hyperlink" Target="https://arxiv.org/abs/2304.13023" TargetMode="External"/><Relationship Id="rId81" Type="http://schemas.openxmlformats.org/officeDocument/2006/relationships/hyperlink" Target="https://scholar.google.com/scholar?q=Synthbuster+Towards+Detection+of+Diffusion+Model+Generated+Images+Bammey" TargetMode="External"/><Relationship Id="rId82" Type="http://schemas.openxmlformats.org/officeDocument/2006/relationships/hyperlink" Target="https://arxiv.org/abs/2505.12335" TargetMode="External"/><Relationship Id="rId83" Type="http://schemas.openxmlformats.org/officeDocument/2006/relationships/hyperlink" Target="https://arxiv.org/abs/2509.09495" TargetMode="External"/><Relationship Id="rId84" Type="http://schemas.openxmlformats.org/officeDocument/2006/relationships/hyperlink" Target="https://arxiv.org/abs/2504.20865" TargetMode="External"/><Relationship Id="rId85" Type="http://schemas.openxmlformats.org/officeDocument/2006/relationships/hyperlink" Target="https://arxiv.org/abs/2411.07472" TargetMode="External"/><Relationship Id="rId86" Type="http://schemas.openxmlformats.org/officeDocument/2006/relationships/hyperlink" Target="https://arxiv.org/abs/2407.20020" TargetMode="External"/><Relationship Id="rId87" Type="http://schemas.openxmlformats.org/officeDocument/2006/relationships/hyperlink" Target="https://arxiv.org/abs/2406.09398" TargetMode="External"/><Relationship Id="rId88" Type="http://schemas.openxmlformats.org/officeDocument/2006/relationships/hyperlink" Target="https://arxiv.org/abs/2310.15150" TargetMode="External"/><Relationship Id="rId89" Type="http://schemas.openxmlformats.org/officeDocument/2006/relationships/hyperlink" Target="https://arxiv.org/abs/2407.15500" TargetMode="External"/><Relationship Id="rId90" Type="http://schemas.openxmlformats.org/officeDocument/2006/relationships/hyperlink" Target="https://arxiv.org/abs/2506.03988" TargetMode="External"/><Relationship Id="rId91" Type="http://schemas.openxmlformats.org/officeDocument/2006/relationships/hyperlink" Target="https://arxiv.org/abs/2004.00622" TargetMode="External"/><Relationship Id="rId92" Type="http://schemas.openxmlformats.org/officeDocument/2006/relationships/hyperlink" Target="https://arxiv.org/abs/2304.11670" TargetMode="External"/><Relationship Id="rId93" Type="http://schemas.openxmlformats.org/officeDocument/2006/relationships/hyperlink" Target="https://arxiv.org/abs/2310.00076" TargetMode="External"/><Relationship Id="rId94" Type="http://schemas.openxmlformats.org/officeDocument/2006/relationships/hyperlink" Target="https://arxiv.org/abs/2410.01574" TargetMode="External"/><Relationship Id="rId95" Type="http://schemas.openxmlformats.org/officeDocument/2006/relationships/hyperlink" Target="https://arxiv.org/abs/2407.20836" TargetMode="External"/><Relationship Id="rId96" Type="http://schemas.openxmlformats.org/officeDocument/2006/relationships/hyperlink" Target="https://arxiv.org/abs/2608.16646" TargetMode="External"/><Relationship Id="rId97" Type="http://schemas.openxmlformats.org/officeDocument/2006/relationships/hyperlink" Target="https://arxiv.org/abs/1706.06083" TargetMode="External"/><Relationship Id="rId98" Type="http://schemas.openxmlformats.org/officeDocument/2006/relationships/hyperlink" Target="https://arxiv.org/abs/1901.08573" TargetMode="External"/><Relationship Id="rId99" Type="http://schemas.openxmlformats.org/officeDocument/2006/relationships/hyperlink" Target="https://arxiv.org/abs/2305.20030" TargetMode="External"/><Relationship Id="rId100" Type="http://schemas.openxmlformats.org/officeDocument/2006/relationships/hyperlink" Target="https://arxiv.org/abs/2303.15435" TargetMode="External"/><Relationship Id="rId10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38"/>
    <col collapsed="false" customWidth="true" hidden="false" outlineLevel="0" max="10" min="10" style="0" width="45"/>
    <col collapsed="false" customWidth="true" hidden="false" outlineLevel="0" max="11" min="11" style="0" width="34"/>
    <col collapsed="false" customWidth="true" hidden="false" outlineLevel="0" max="12" min="12" style="0" width="40"/>
    <col collapsed="false" customWidth="true" hidden="false" outlineLevel="0" max="13" min="13" style="0" width="28"/>
    <col collapsed="false" customWidth="true" hidden="false" outlineLevel="0" max="15" min="14" style="0" width="3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53.7" hidden="false" customHeight="false" outlineLevel="0" collapsed="false">
      <c r="A2" s="2" t="n">
        <v>1</v>
      </c>
      <c r="B2" s="3" t="s">
        <v>15</v>
      </c>
      <c r="C2" s="2" t="s">
        <v>16</v>
      </c>
      <c r="D2" s="2" t="n">
        <v>2020</v>
      </c>
      <c r="E2" s="2" t="s">
        <v>17</v>
      </c>
      <c r="F2" s="4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customFormat="false" ht="32.8" hidden="false" customHeight="false" outlineLevel="0" collapsed="false">
      <c r="A3" s="5" t="n">
        <v>2</v>
      </c>
      <c r="B3" s="6" t="s">
        <v>28</v>
      </c>
      <c r="C3" s="5" t="s">
        <v>29</v>
      </c>
      <c r="D3" s="5" t="n">
        <v>2020</v>
      </c>
      <c r="E3" s="5" t="s">
        <v>30</v>
      </c>
      <c r="F3" s="7" t="s">
        <v>31</v>
      </c>
      <c r="G3" s="5" t="s">
        <v>19</v>
      </c>
      <c r="H3" s="5" t="s">
        <v>32</v>
      </c>
      <c r="I3" s="5" t="s">
        <v>33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</row>
    <row r="4" customFormat="false" ht="32.8" hidden="false" customHeight="false" outlineLevel="0" collapsed="false">
      <c r="A4" s="2" t="n">
        <v>3</v>
      </c>
      <c r="B4" s="3" t="s">
        <v>40</v>
      </c>
      <c r="C4" s="2" t="s">
        <v>41</v>
      </c>
      <c r="D4" s="2" t="n">
        <v>2020</v>
      </c>
      <c r="E4" s="2" t="s">
        <v>17</v>
      </c>
      <c r="F4" s="4" t="s">
        <v>42</v>
      </c>
      <c r="G4" s="2" t="s">
        <v>19</v>
      </c>
      <c r="H4" s="2" t="s">
        <v>32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  <c r="N4" s="2" t="s">
        <v>48</v>
      </c>
      <c r="O4" s="2" t="s">
        <v>49</v>
      </c>
    </row>
    <row r="5" customFormat="false" ht="32.8" hidden="false" customHeight="false" outlineLevel="0" collapsed="false">
      <c r="A5" s="5" t="n">
        <v>4</v>
      </c>
      <c r="B5" s="6" t="s">
        <v>50</v>
      </c>
      <c r="C5" s="5" t="s">
        <v>51</v>
      </c>
      <c r="D5" s="5" t="n">
        <v>2019</v>
      </c>
      <c r="E5" s="5" t="s">
        <v>52</v>
      </c>
      <c r="F5" s="7" t="s">
        <v>53</v>
      </c>
      <c r="G5" s="5" t="s">
        <v>19</v>
      </c>
      <c r="H5" s="5" t="s">
        <v>54</v>
      </c>
      <c r="I5" s="5" t="s">
        <v>55</v>
      </c>
      <c r="J5" s="5" t="s">
        <v>56</v>
      </c>
      <c r="K5" s="5" t="s">
        <v>57</v>
      </c>
      <c r="L5" s="5" t="s">
        <v>58</v>
      </c>
      <c r="M5" s="5" t="s">
        <v>59</v>
      </c>
      <c r="N5" s="5" t="s">
        <v>60</v>
      </c>
      <c r="O5" s="5" t="s">
        <v>61</v>
      </c>
    </row>
    <row r="6" customFormat="false" ht="22.35" hidden="false" customHeight="false" outlineLevel="0" collapsed="false">
      <c r="A6" s="2" t="n">
        <v>5</v>
      </c>
      <c r="B6" s="3" t="s">
        <v>62</v>
      </c>
      <c r="C6" s="2" t="s">
        <v>63</v>
      </c>
      <c r="D6" s="2" t="n">
        <v>2019</v>
      </c>
      <c r="E6" s="2" t="s">
        <v>64</v>
      </c>
      <c r="F6" s="4" t="s">
        <v>65</v>
      </c>
      <c r="G6" s="2" t="s">
        <v>19</v>
      </c>
      <c r="H6" s="2" t="s">
        <v>66</v>
      </c>
      <c r="I6" s="2" t="s">
        <v>67</v>
      </c>
      <c r="J6" s="2" t="s">
        <v>68</v>
      </c>
      <c r="K6" s="2" t="s">
        <v>69</v>
      </c>
      <c r="L6" s="2" t="s">
        <v>70</v>
      </c>
      <c r="M6" s="2" t="s">
        <v>71</v>
      </c>
      <c r="N6" s="2" t="s">
        <v>72</v>
      </c>
      <c r="O6" s="2" t="s">
        <v>73</v>
      </c>
    </row>
    <row r="7" customFormat="false" ht="32.8" hidden="false" customHeight="false" outlineLevel="0" collapsed="false">
      <c r="A7" s="5" t="n">
        <v>6</v>
      </c>
      <c r="B7" s="6" t="s">
        <v>74</v>
      </c>
      <c r="C7" s="5" t="s">
        <v>75</v>
      </c>
      <c r="D7" s="5" t="n">
        <v>2020</v>
      </c>
      <c r="E7" s="5" t="s">
        <v>76</v>
      </c>
      <c r="F7" s="7" t="s">
        <v>77</v>
      </c>
      <c r="G7" s="5" t="s">
        <v>19</v>
      </c>
      <c r="H7" s="5" t="s">
        <v>78</v>
      </c>
      <c r="I7" s="5" t="s">
        <v>79</v>
      </c>
      <c r="J7" s="5" t="s">
        <v>80</v>
      </c>
      <c r="K7" s="5" t="s">
        <v>81</v>
      </c>
      <c r="L7" s="5" t="s">
        <v>82</v>
      </c>
      <c r="M7" s="5" t="s">
        <v>83</v>
      </c>
      <c r="N7" s="5" t="s">
        <v>84</v>
      </c>
      <c r="O7" s="5" t="s">
        <v>85</v>
      </c>
    </row>
    <row r="8" customFormat="false" ht="22.35" hidden="false" customHeight="false" outlineLevel="0" collapsed="false">
      <c r="A8" s="2" t="n">
        <v>7</v>
      </c>
      <c r="B8" s="3" t="s">
        <v>86</v>
      </c>
      <c r="C8" s="2" t="s">
        <v>87</v>
      </c>
      <c r="D8" s="2" t="n">
        <v>2021</v>
      </c>
      <c r="E8" s="2" t="s">
        <v>88</v>
      </c>
      <c r="F8" s="4" t="s">
        <v>89</v>
      </c>
      <c r="G8" s="2" t="s">
        <v>19</v>
      </c>
      <c r="H8" s="2" t="s">
        <v>90</v>
      </c>
      <c r="I8" s="2" t="s">
        <v>91</v>
      </c>
      <c r="J8" s="2" t="s">
        <v>92</v>
      </c>
      <c r="K8" s="2" t="s">
        <v>93</v>
      </c>
      <c r="L8" s="2" t="s">
        <v>94</v>
      </c>
      <c r="M8" s="2" t="s">
        <v>95</v>
      </c>
      <c r="N8" s="2" t="s">
        <v>96</v>
      </c>
      <c r="O8" s="2" t="s">
        <v>97</v>
      </c>
    </row>
    <row r="9" customFormat="false" ht="32.8" hidden="false" customHeight="false" outlineLevel="0" collapsed="false">
      <c r="A9" s="5" t="n">
        <v>8</v>
      </c>
      <c r="B9" s="6" t="s">
        <v>98</v>
      </c>
      <c r="C9" s="5" t="s">
        <v>99</v>
      </c>
      <c r="D9" s="5" t="n">
        <v>2022</v>
      </c>
      <c r="E9" s="5" t="s">
        <v>100</v>
      </c>
      <c r="F9" s="7" t="s">
        <v>101</v>
      </c>
      <c r="G9" s="5" t="s">
        <v>19</v>
      </c>
      <c r="H9" s="5" t="s">
        <v>102</v>
      </c>
      <c r="I9" s="5" t="s">
        <v>103</v>
      </c>
      <c r="J9" s="5" t="s">
        <v>104</v>
      </c>
      <c r="K9" s="5" t="s">
        <v>105</v>
      </c>
      <c r="L9" s="5" t="s">
        <v>106</v>
      </c>
      <c r="M9" s="5" t="s">
        <v>107</v>
      </c>
      <c r="N9" s="5" t="s">
        <v>108</v>
      </c>
      <c r="O9" s="5" t="s">
        <v>109</v>
      </c>
    </row>
    <row r="10" customFormat="false" ht="32.8" hidden="false" customHeight="false" outlineLevel="0" collapsed="false">
      <c r="A10" s="2" t="n">
        <v>9</v>
      </c>
      <c r="B10" s="3" t="s">
        <v>110</v>
      </c>
      <c r="C10" s="2" t="s">
        <v>111</v>
      </c>
      <c r="D10" s="2" t="n">
        <v>2023</v>
      </c>
      <c r="E10" s="2" t="s">
        <v>112</v>
      </c>
      <c r="F10" s="4" t="s">
        <v>113</v>
      </c>
      <c r="G10" s="2" t="s">
        <v>19</v>
      </c>
      <c r="H10" s="2" t="s">
        <v>114</v>
      </c>
      <c r="I10" s="2" t="s">
        <v>115</v>
      </c>
      <c r="J10" s="2" t="s">
        <v>116</v>
      </c>
      <c r="K10" s="2" t="s">
        <v>117</v>
      </c>
      <c r="L10" s="2" t="s">
        <v>118</v>
      </c>
      <c r="M10" s="2" t="s">
        <v>119</v>
      </c>
      <c r="N10" s="2" t="s">
        <v>120</v>
      </c>
      <c r="O10" s="2" t="s">
        <v>121</v>
      </c>
    </row>
    <row r="11" customFormat="false" ht="32.8" hidden="false" customHeight="false" outlineLevel="0" collapsed="false">
      <c r="A11" s="5" t="n">
        <v>10</v>
      </c>
      <c r="B11" s="6" t="s">
        <v>122</v>
      </c>
      <c r="C11" s="5" t="s">
        <v>123</v>
      </c>
      <c r="D11" s="5" t="n">
        <v>2024</v>
      </c>
      <c r="E11" s="5" t="s">
        <v>124</v>
      </c>
      <c r="F11" s="7" t="s">
        <v>125</v>
      </c>
      <c r="G11" s="5" t="s">
        <v>19</v>
      </c>
      <c r="H11" s="5" t="s">
        <v>114</v>
      </c>
      <c r="I11" s="5" t="s">
        <v>126</v>
      </c>
      <c r="J11" s="5" t="s">
        <v>127</v>
      </c>
      <c r="K11" s="5" t="s">
        <v>128</v>
      </c>
      <c r="L11" s="5" t="s">
        <v>129</v>
      </c>
      <c r="M11" s="5" t="s">
        <v>130</v>
      </c>
      <c r="N11" s="5" t="s">
        <v>131</v>
      </c>
      <c r="O11" s="5" t="s">
        <v>132</v>
      </c>
    </row>
    <row r="12" customFormat="false" ht="32.8" hidden="false" customHeight="false" outlineLevel="0" collapsed="false">
      <c r="A12" s="2" t="n">
        <v>11</v>
      </c>
      <c r="B12" s="3" t="s">
        <v>133</v>
      </c>
      <c r="C12" s="2" t="s">
        <v>134</v>
      </c>
      <c r="D12" s="2" t="n">
        <v>2024</v>
      </c>
      <c r="E12" s="2" t="s">
        <v>135</v>
      </c>
      <c r="F12" s="4" t="s">
        <v>136</v>
      </c>
      <c r="G12" s="2" t="s">
        <v>19</v>
      </c>
      <c r="H12" s="2" t="s">
        <v>32</v>
      </c>
      <c r="I12" s="2" t="s">
        <v>137</v>
      </c>
      <c r="J12" s="2" t="s">
        <v>138</v>
      </c>
      <c r="K12" s="2" t="s">
        <v>139</v>
      </c>
      <c r="L12" s="2" t="s">
        <v>140</v>
      </c>
      <c r="M12" s="2" t="s">
        <v>141</v>
      </c>
      <c r="N12" s="2" t="s">
        <v>142</v>
      </c>
      <c r="O12" s="2" t="s">
        <v>143</v>
      </c>
    </row>
    <row r="13" customFormat="false" ht="32.8" hidden="false" customHeight="false" outlineLevel="0" collapsed="false">
      <c r="A13" s="5" t="n">
        <v>12</v>
      </c>
      <c r="B13" s="6" t="s">
        <v>144</v>
      </c>
      <c r="C13" s="5" t="s">
        <v>145</v>
      </c>
      <c r="D13" s="5" t="n">
        <v>2023</v>
      </c>
      <c r="E13" s="5" t="s">
        <v>146</v>
      </c>
      <c r="F13" s="7" t="s">
        <v>147</v>
      </c>
      <c r="G13" s="5" t="s">
        <v>19</v>
      </c>
      <c r="H13" s="5" t="s">
        <v>148</v>
      </c>
      <c r="I13" s="5" t="s">
        <v>149</v>
      </c>
      <c r="J13" s="5" t="s">
        <v>150</v>
      </c>
      <c r="K13" s="5" t="s">
        <v>151</v>
      </c>
      <c r="L13" s="5" t="s">
        <v>152</v>
      </c>
      <c r="M13" s="5" t="s">
        <v>107</v>
      </c>
      <c r="N13" s="5" t="s">
        <v>153</v>
      </c>
      <c r="O13" s="5" t="s">
        <v>154</v>
      </c>
    </row>
    <row r="14" customFormat="false" ht="32.8" hidden="false" customHeight="false" outlineLevel="0" collapsed="false">
      <c r="A14" s="2" t="n">
        <v>13</v>
      </c>
      <c r="B14" s="3" t="s">
        <v>155</v>
      </c>
      <c r="C14" s="2" t="s">
        <v>156</v>
      </c>
      <c r="D14" s="2" t="n">
        <v>2023</v>
      </c>
      <c r="E14" s="2" t="s">
        <v>157</v>
      </c>
      <c r="F14" s="4" t="s">
        <v>158</v>
      </c>
      <c r="G14" s="2" t="s">
        <v>19</v>
      </c>
      <c r="H14" s="2" t="s">
        <v>159</v>
      </c>
      <c r="I14" s="2" t="s">
        <v>160</v>
      </c>
      <c r="J14" s="2" t="s">
        <v>161</v>
      </c>
      <c r="K14" s="2" t="s">
        <v>162</v>
      </c>
      <c r="L14" s="2" t="s">
        <v>163</v>
      </c>
      <c r="M14" s="2" t="s">
        <v>164</v>
      </c>
      <c r="N14" s="2" t="s">
        <v>165</v>
      </c>
      <c r="O14" s="2" t="s">
        <v>166</v>
      </c>
    </row>
    <row r="15" customFormat="false" ht="32.8" hidden="false" customHeight="false" outlineLevel="0" collapsed="false">
      <c r="A15" s="5" t="n">
        <v>14</v>
      </c>
      <c r="B15" s="6" t="s">
        <v>167</v>
      </c>
      <c r="C15" s="5" t="s">
        <v>168</v>
      </c>
      <c r="D15" s="5" t="n">
        <v>2023</v>
      </c>
      <c r="E15" s="5" t="s">
        <v>169</v>
      </c>
      <c r="F15" s="7" t="s">
        <v>170</v>
      </c>
      <c r="G15" s="5" t="s">
        <v>19</v>
      </c>
      <c r="H15" s="5" t="s">
        <v>159</v>
      </c>
      <c r="I15" s="5" t="s">
        <v>171</v>
      </c>
      <c r="J15" s="5" t="s">
        <v>172</v>
      </c>
      <c r="K15" s="5" t="s">
        <v>173</v>
      </c>
      <c r="L15" s="5" t="s">
        <v>174</v>
      </c>
      <c r="M15" s="5" t="s">
        <v>175</v>
      </c>
      <c r="N15" s="5" t="s">
        <v>176</v>
      </c>
      <c r="O15" s="5" t="s">
        <v>177</v>
      </c>
    </row>
    <row r="16" customFormat="false" ht="22.35" hidden="false" customHeight="false" outlineLevel="0" collapsed="false">
      <c r="A16" s="2" t="n">
        <v>15</v>
      </c>
      <c r="B16" s="3" t="s">
        <v>178</v>
      </c>
      <c r="C16" s="2" t="s">
        <v>179</v>
      </c>
      <c r="D16" s="2" t="n">
        <v>2024</v>
      </c>
      <c r="E16" s="2" t="s">
        <v>180</v>
      </c>
      <c r="F16" s="4" t="s">
        <v>181</v>
      </c>
      <c r="G16" s="2" t="s">
        <v>19</v>
      </c>
      <c r="H16" s="2" t="s">
        <v>159</v>
      </c>
      <c r="I16" s="2" t="s">
        <v>182</v>
      </c>
      <c r="J16" s="2" t="s">
        <v>183</v>
      </c>
      <c r="K16" s="2" t="s">
        <v>184</v>
      </c>
      <c r="L16" s="2" t="s">
        <v>185</v>
      </c>
      <c r="M16" s="2" t="s">
        <v>186</v>
      </c>
      <c r="N16" s="2" t="s">
        <v>187</v>
      </c>
      <c r="O16" s="2" t="s">
        <v>188</v>
      </c>
    </row>
    <row r="17" customFormat="false" ht="43.25" hidden="false" customHeight="false" outlineLevel="0" collapsed="false">
      <c r="A17" s="5" t="n">
        <v>16</v>
      </c>
      <c r="B17" s="6" t="s">
        <v>189</v>
      </c>
      <c r="C17" s="5" t="s">
        <v>190</v>
      </c>
      <c r="D17" s="5" t="n">
        <v>2024</v>
      </c>
      <c r="E17" s="5" t="s">
        <v>191</v>
      </c>
      <c r="F17" s="7" t="s">
        <v>192</v>
      </c>
      <c r="G17" s="5" t="s">
        <v>193</v>
      </c>
      <c r="H17" s="5" t="s">
        <v>194</v>
      </c>
      <c r="I17" s="5" t="s">
        <v>195</v>
      </c>
      <c r="J17" s="5" t="s">
        <v>196</v>
      </c>
      <c r="K17" s="5" t="s">
        <v>197</v>
      </c>
      <c r="L17" s="5" t="s">
        <v>198</v>
      </c>
      <c r="M17" s="5" t="s">
        <v>199</v>
      </c>
      <c r="N17" s="5" t="s">
        <v>200</v>
      </c>
      <c r="O17" s="5" t="s">
        <v>201</v>
      </c>
    </row>
    <row r="18" customFormat="false" ht="22.35" hidden="false" customHeight="false" outlineLevel="0" collapsed="false">
      <c r="A18" s="2" t="n">
        <v>17</v>
      </c>
      <c r="B18" s="3" t="s">
        <v>202</v>
      </c>
      <c r="C18" s="2" t="s">
        <v>203</v>
      </c>
      <c r="D18" s="2" t="n">
        <v>2024</v>
      </c>
      <c r="E18" s="2" t="s">
        <v>204</v>
      </c>
      <c r="F18" s="4" t="s">
        <v>205</v>
      </c>
      <c r="G18" s="2" t="s">
        <v>19</v>
      </c>
      <c r="H18" s="2" t="s">
        <v>78</v>
      </c>
      <c r="I18" s="2" t="s">
        <v>195</v>
      </c>
      <c r="J18" s="2" t="s">
        <v>206</v>
      </c>
      <c r="K18" s="2" t="s">
        <v>207</v>
      </c>
      <c r="L18" s="2" t="s">
        <v>208</v>
      </c>
      <c r="M18" s="2" t="s">
        <v>209</v>
      </c>
      <c r="N18" s="2" t="s">
        <v>210</v>
      </c>
      <c r="O18" s="2" t="s">
        <v>211</v>
      </c>
    </row>
    <row r="19" customFormat="false" ht="43.25" hidden="false" customHeight="false" outlineLevel="0" collapsed="false">
      <c r="A19" s="5" t="n">
        <v>18</v>
      </c>
      <c r="B19" s="6" t="s">
        <v>212</v>
      </c>
      <c r="C19" s="5" t="s">
        <v>213</v>
      </c>
      <c r="D19" s="5" t="n">
        <v>2025</v>
      </c>
      <c r="E19" s="5" t="s">
        <v>214</v>
      </c>
      <c r="F19" s="7" t="s">
        <v>215</v>
      </c>
      <c r="G19" s="5" t="s">
        <v>19</v>
      </c>
      <c r="H19" s="5" t="s">
        <v>216</v>
      </c>
      <c r="I19" s="5" t="s">
        <v>217</v>
      </c>
      <c r="J19" s="5" t="s">
        <v>218</v>
      </c>
      <c r="K19" s="5" t="s">
        <v>219</v>
      </c>
      <c r="L19" s="5" t="s">
        <v>220</v>
      </c>
      <c r="M19" s="5" t="s">
        <v>221</v>
      </c>
      <c r="N19" s="5" t="s">
        <v>222</v>
      </c>
      <c r="O19" s="5" t="s">
        <v>223</v>
      </c>
    </row>
    <row r="20" customFormat="false" ht="43.25" hidden="false" customHeight="false" outlineLevel="0" collapsed="false">
      <c r="A20" s="2" t="n">
        <v>19</v>
      </c>
      <c r="B20" s="3" t="s">
        <v>224</v>
      </c>
      <c r="C20" s="2" t="s">
        <v>225</v>
      </c>
      <c r="D20" s="2" t="n">
        <v>2025</v>
      </c>
      <c r="E20" s="2" t="s">
        <v>226</v>
      </c>
      <c r="F20" s="4" t="s">
        <v>227</v>
      </c>
      <c r="G20" s="2" t="s">
        <v>19</v>
      </c>
      <c r="H20" s="2" t="s">
        <v>228</v>
      </c>
      <c r="I20" s="2" t="s">
        <v>229</v>
      </c>
      <c r="J20" s="2" t="s">
        <v>230</v>
      </c>
      <c r="K20" s="2" t="s">
        <v>231</v>
      </c>
      <c r="L20" s="2" t="s">
        <v>232</v>
      </c>
      <c r="M20" s="2" t="s">
        <v>233</v>
      </c>
      <c r="N20" s="2" t="s">
        <v>234</v>
      </c>
      <c r="O20" s="2" t="s">
        <v>235</v>
      </c>
    </row>
    <row r="21" customFormat="false" ht="32.8" hidden="false" customHeight="false" outlineLevel="0" collapsed="false">
      <c r="A21" s="5" t="n">
        <v>20</v>
      </c>
      <c r="B21" s="6" t="s">
        <v>236</v>
      </c>
      <c r="C21" s="5" t="s">
        <v>237</v>
      </c>
      <c r="D21" s="5" t="n">
        <v>2025</v>
      </c>
      <c r="E21" s="5" t="s">
        <v>238</v>
      </c>
      <c r="F21" s="7" t="s">
        <v>239</v>
      </c>
      <c r="G21" s="5" t="s">
        <v>193</v>
      </c>
      <c r="H21" s="5" t="s">
        <v>240</v>
      </c>
      <c r="I21" s="5" t="s">
        <v>241</v>
      </c>
      <c r="J21" s="5" t="s">
        <v>242</v>
      </c>
      <c r="K21" s="5" t="s">
        <v>243</v>
      </c>
      <c r="L21" s="5" t="s">
        <v>244</v>
      </c>
      <c r="M21" s="5" t="s">
        <v>245</v>
      </c>
      <c r="N21" s="5" t="s">
        <v>246</v>
      </c>
      <c r="O21" s="5" t="s">
        <v>247</v>
      </c>
    </row>
    <row r="22" customFormat="false" ht="22.35" hidden="false" customHeight="false" outlineLevel="0" collapsed="false">
      <c r="A22" s="2" t="n">
        <v>21</v>
      </c>
      <c r="B22" s="3" t="s">
        <v>248</v>
      </c>
      <c r="C22" s="2" t="s">
        <v>249</v>
      </c>
      <c r="D22" s="2" t="n">
        <v>2024</v>
      </c>
      <c r="E22" s="2" t="s">
        <v>250</v>
      </c>
      <c r="F22" s="4" t="s">
        <v>251</v>
      </c>
      <c r="G22" s="2" t="s">
        <v>252</v>
      </c>
      <c r="H22" s="2" t="s">
        <v>253</v>
      </c>
      <c r="I22" s="2" t="s">
        <v>254</v>
      </c>
      <c r="J22" s="2" t="s">
        <v>255</v>
      </c>
      <c r="K22" s="2" t="s">
        <v>256</v>
      </c>
      <c r="L22" s="2" t="s">
        <v>257</v>
      </c>
      <c r="M22" s="2" t="s">
        <v>258</v>
      </c>
      <c r="N22" s="2" t="s">
        <v>259</v>
      </c>
      <c r="O22" s="2" t="s">
        <v>260</v>
      </c>
    </row>
    <row r="23" customFormat="false" ht="32.8" hidden="false" customHeight="false" outlineLevel="0" collapsed="false">
      <c r="A23" s="5" t="n">
        <v>22</v>
      </c>
      <c r="B23" s="6" t="s">
        <v>261</v>
      </c>
      <c r="C23" s="5" t="s">
        <v>262</v>
      </c>
      <c r="D23" s="5" t="n">
        <v>2025</v>
      </c>
      <c r="E23" s="5" t="s">
        <v>238</v>
      </c>
      <c r="F23" s="7" t="s">
        <v>263</v>
      </c>
      <c r="G23" s="5" t="s">
        <v>252</v>
      </c>
      <c r="H23" s="5" t="s">
        <v>264</v>
      </c>
      <c r="I23" s="5" t="s">
        <v>265</v>
      </c>
      <c r="J23" s="5" t="s">
        <v>266</v>
      </c>
      <c r="K23" s="5" t="s">
        <v>267</v>
      </c>
      <c r="L23" s="5" t="s">
        <v>268</v>
      </c>
      <c r="M23" s="5" t="s">
        <v>269</v>
      </c>
      <c r="N23" s="5" t="s">
        <v>270</v>
      </c>
      <c r="O23" s="5" t="s">
        <v>271</v>
      </c>
    </row>
    <row r="24" customFormat="false" ht="32.8" hidden="false" customHeight="false" outlineLevel="0" collapsed="false">
      <c r="A24" s="2" t="n">
        <v>23</v>
      </c>
      <c r="B24" s="3" t="s">
        <v>272</v>
      </c>
      <c r="C24" s="2" t="s">
        <v>273</v>
      </c>
      <c r="D24" s="2" t="n">
        <v>2025</v>
      </c>
      <c r="E24" s="2" t="s">
        <v>274</v>
      </c>
      <c r="F24" s="4" t="s">
        <v>275</v>
      </c>
      <c r="G24" s="2" t="s">
        <v>252</v>
      </c>
      <c r="H24" s="2" t="s">
        <v>276</v>
      </c>
      <c r="I24" s="2" t="s">
        <v>277</v>
      </c>
      <c r="J24" s="2" t="s">
        <v>278</v>
      </c>
      <c r="K24" s="2" t="s">
        <v>279</v>
      </c>
      <c r="L24" s="2" t="s">
        <v>280</v>
      </c>
      <c r="M24" s="2" t="s">
        <v>281</v>
      </c>
      <c r="N24" s="2" t="s">
        <v>282</v>
      </c>
      <c r="O24" s="2" t="s">
        <v>283</v>
      </c>
    </row>
    <row r="25" customFormat="false" ht="43.25" hidden="false" customHeight="false" outlineLevel="0" collapsed="false">
      <c r="A25" s="5" t="n">
        <v>24</v>
      </c>
      <c r="B25" s="6" t="s">
        <v>284</v>
      </c>
      <c r="C25" s="5" t="s">
        <v>285</v>
      </c>
      <c r="D25" s="5" t="n">
        <v>2023</v>
      </c>
      <c r="E25" s="5" t="s">
        <v>286</v>
      </c>
      <c r="F25" s="7" t="s">
        <v>287</v>
      </c>
      <c r="G25" s="5" t="s">
        <v>288</v>
      </c>
      <c r="H25" s="5" t="s">
        <v>289</v>
      </c>
      <c r="I25" s="5" t="s">
        <v>290</v>
      </c>
      <c r="J25" s="5" t="s">
        <v>291</v>
      </c>
      <c r="K25" s="5" t="s">
        <v>292</v>
      </c>
      <c r="L25" s="5" t="s">
        <v>293</v>
      </c>
      <c r="M25" s="5" t="s">
        <v>294</v>
      </c>
      <c r="N25" s="5" t="s">
        <v>295</v>
      </c>
      <c r="O25" s="5" t="s">
        <v>296</v>
      </c>
    </row>
    <row r="26" customFormat="false" ht="43.25" hidden="false" customHeight="false" outlineLevel="0" collapsed="false">
      <c r="A26" s="2" t="n">
        <v>25</v>
      </c>
      <c r="B26" s="3" t="s">
        <v>297</v>
      </c>
      <c r="C26" s="2" t="s">
        <v>298</v>
      </c>
      <c r="D26" s="2" t="n">
        <v>2024</v>
      </c>
      <c r="E26" s="2" t="s">
        <v>124</v>
      </c>
      <c r="F26" s="4" t="s">
        <v>299</v>
      </c>
      <c r="G26" s="2" t="s">
        <v>288</v>
      </c>
      <c r="H26" s="2" t="s">
        <v>300</v>
      </c>
      <c r="I26" s="2" t="s">
        <v>301</v>
      </c>
      <c r="J26" s="2" t="s">
        <v>302</v>
      </c>
      <c r="K26" s="2" t="s">
        <v>303</v>
      </c>
      <c r="L26" s="2" t="s">
        <v>304</v>
      </c>
      <c r="M26" s="2" t="s">
        <v>305</v>
      </c>
      <c r="N26" s="2" t="s">
        <v>306</v>
      </c>
      <c r="O26" s="2" t="s">
        <v>307</v>
      </c>
    </row>
    <row r="27" customFormat="false" ht="32.8" hidden="false" customHeight="false" outlineLevel="0" collapsed="false">
      <c r="A27" s="5" t="n">
        <v>26</v>
      </c>
      <c r="B27" s="6" t="s">
        <v>308</v>
      </c>
      <c r="C27" s="5" t="s">
        <v>309</v>
      </c>
      <c r="D27" s="5" t="n">
        <v>2024</v>
      </c>
      <c r="E27" s="5" t="s">
        <v>124</v>
      </c>
      <c r="F27" s="7" t="s">
        <v>310</v>
      </c>
      <c r="G27" s="5" t="s">
        <v>288</v>
      </c>
      <c r="H27" s="5" t="s">
        <v>311</v>
      </c>
      <c r="I27" s="5" t="s">
        <v>195</v>
      </c>
      <c r="J27" s="5" t="s">
        <v>312</v>
      </c>
      <c r="K27" s="5" t="s">
        <v>313</v>
      </c>
      <c r="L27" s="5" t="s">
        <v>314</v>
      </c>
      <c r="M27" s="5" t="s">
        <v>315</v>
      </c>
      <c r="N27" s="5" t="s">
        <v>316</v>
      </c>
      <c r="O27" s="5" t="s">
        <v>317</v>
      </c>
    </row>
    <row r="28" customFormat="false" ht="32.8" hidden="false" customHeight="false" outlineLevel="0" collapsed="false">
      <c r="A28" s="2" t="n">
        <v>27</v>
      </c>
      <c r="B28" s="3" t="s">
        <v>318</v>
      </c>
      <c r="C28" s="2" t="s">
        <v>319</v>
      </c>
      <c r="D28" s="2" t="n">
        <v>2024</v>
      </c>
      <c r="E28" s="2" t="s">
        <v>124</v>
      </c>
      <c r="F28" s="4" t="s">
        <v>320</v>
      </c>
      <c r="G28" s="2" t="s">
        <v>193</v>
      </c>
      <c r="H28" s="2" t="s">
        <v>321</v>
      </c>
      <c r="I28" s="2" t="s">
        <v>322</v>
      </c>
      <c r="J28" s="2" t="s">
        <v>323</v>
      </c>
      <c r="K28" s="2" t="s">
        <v>324</v>
      </c>
      <c r="L28" s="2" t="s">
        <v>325</v>
      </c>
      <c r="M28" s="2" t="s">
        <v>326</v>
      </c>
      <c r="N28" s="2" t="s">
        <v>327</v>
      </c>
      <c r="O28" s="2" t="s">
        <v>328</v>
      </c>
    </row>
    <row r="29" customFormat="false" ht="32.8" hidden="false" customHeight="false" outlineLevel="0" collapsed="false">
      <c r="A29" s="5" t="n">
        <v>28</v>
      </c>
      <c r="B29" s="6" t="s">
        <v>329</v>
      </c>
      <c r="C29" s="5" t="s">
        <v>330</v>
      </c>
      <c r="D29" s="5" t="n">
        <v>2024</v>
      </c>
      <c r="E29" s="5" t="s">
        <v>331</v>
      </c>
      <c r="F29" s="7" t="s">
        <v>332</v>
      </c>
      <c r="G29" s="5" t="s">
        <v>288</v>
      </c>
      <c r="H29" s="5" t="s">
        <v>333</v>
      </c>
      <c r="I29" s="5" t="s">
        <v>334</v>
      </c>
      <c r="J29" s="5" t="s">
        <v>335</v>
      </c>
      <c r="K29" s="5" t="s">
        <v>336</v>
      </c>
      <c r="L29" s="5" t="s">
        <v>337</v>
      </c>
      <c r="M29" s="5" t="s">
        <v>338</v>
      </c>
      <c r="N29" s="5" t="s">
        <v>339</v>
      </c>
      <c r="O29" s="5" t="s">
        <v>340</v>
      </c>
    </row>
    <row r="30" customFormat="false" ht="32.8" hidden="false" customHeight="false" outlineLevel="0" collapsed="false">
      <c r="A30" s="2" t="n">
        <v>29</v>
      </c>
      <c r="B30" s="3" t="s">
        <v>341</v>
      </c>
      <c r="C30" s="2" t="s">
        <v>342</v>
      </c>
      <c r="D30" s="2" t="n">
        <v>2025</v>
      </c>
      <c r="E30" s="2" t="s">
        <v>226</v>
      </c>
      <c r="F30" s="4" t="s">
        <v>343</v>
      </c>
      <c r="G30" s="2" t="s">
        <v>288</v>
      </c>
      <c r="H30" s="2" t="s">
        <v>344</v>
      </c>
      <c r="I30" s="2" t="s">
        <v>345</v>
      </c>
      <c r="J30" s="2" t="s">
        <v>346</v>
      </c>
      <c r="K30" s="2" t="s">
        <v>347</v>
      </c>
      <c r="L30" s="2" t="s">
        <v>348</v>
      </c>
      <c r="M30" s="2" t="s">
        <v>349</v>
      </c>
      <c r="N30" s="2" t="s">
        <v>350</v>
      </c>
      <c r="O30" s="2" t="s">
        <v>351</v>
      </c>
    </row>
    <row r="31" customFormat="false" ht="32.8" hidden="false" customHeight="false" outlineLevel="0" collapsed="false">
      <c r="A31" s="5" t="n">
        <v>30</v>
      </c>
      <c r="B31" s="6" t="s">
        <v>352</v>
      </c>
      <c r="C31" s="5" t="s">
        <v>353</v>
      </c>
      <c r="D31" s="5" t="n">
        <v>2026</v>
      </c>
      <c r="E31" s="5" t="s">
        <v>354</v>
      </c>
      <c r="F31" s="7" t="s">
        <v>355</v>
      </c>
      <c r="G31" s="5" t="s">
        <v>288</v>
      </c>
      <c r="H31" s="5" t="s">
        <v>356</v>
      </c>
      <c r="I31" s="5" t="s">
        <v>357</v>
      </c>
      <c r="J31" s="5" t="s">
        <v>358</v>
      </c>
      <c r="K31" s="5" t="s">
        <v>359</v>
      </c>
      <c r="L31" s="5" t="s">
        <v>360</v>
      </c>
      <c r="M31" s="5" t="s">
        <v>361</v>
      </c>
      <c r="N31" s="5" t="s">
        <v>362</v>
      </c>
      <c r="O31" s="5" t="s">
        <v>363</v>
      </c>
    </row>
    <row r="32" customFormat="false" ht="32.8" hidden="false" customHeight="false" outlineLevel="0" collapsed="false">
      <c r="A32" s="2" t="n">
        <v>31</v>
      </c>
      <c r="B32" s="3" t="s">
        <v>364</v>
      </c>
      <c r="C32" s="2" t="s">
        <v>365</v>
      </c>
      <c r="D32" s="2" t="n">
        <v>2026</v>
      </c>
      <c r="E32" s="2" t="s">
        <v>366</v>
      </c>
      <c r="F32" s="4" t="s">
        <v>367</v>
      </c>
      <c r="G32" s="2" t="s">
        <v>288</v>
      </c>
      <c r="H32" s="2" t="s">
        <v>300</v>
      </c>
      <c r="I32" s="2" t="s">
        <v>368</v>
      </c>
      <c r="J32" s="2" t="s">
        <v>369</v>
      </c>
      <c r="K32" s="2" t="s">
        <v>370</v>
      </c>
      <c r="L32" s="2" t="s">
        <v>371</v>
      </c>
      <c r="M32" s="2" t="s">
        <v>372</v>
      </c>
      <c r="N32" s="2" t="s">
        <v>373</v>
      </c>
      <c r="O32" s="2" t="s">
        <v>374</v>
      </c>
    </row>
    <row r="33" customFormat="false" ht="32.8" hidden="false" customHeight="false" outlineLevel="0" collapsed="false">
      <c r="A33" s="5" t="n">
        <v>32</v>
      </c>
      <c r="B33" s="6" t="s">
        <v>375</v>
      </c>
      <c r="C33" s="5" t="s">
        <v>376</v>
      </c>
      <c r="D33" s="5" t="n">
        <v>2024</v>
      </c>
      <c r="E33" s="5" t="s">
        <v>377</v>
      </c>
      <c r="F33" s="7" t="s">
        <v>378</v>
      </c>
      <c r="G33" s="5" t="s">
        <v>288</v>
      </c>
      <c r="H33" s="5" t="s">
        <v>379</v>
      </c>
      <c r="I33" s="5" t="s">
        <v>380</v>
      </c>
      <c r="J33" s="5" t="s">
        <v>381</v>
      </c>
      <c r="K33" s="5" t="s">
        <v>382</v>
      </c>
      <c r="L33" s="5" t="s">
        <v>383</v>
      </c>
      <c r="M33" s="5" t="s">
        <v>107</v>
      </c>
      <c r="N33" s="5" t="s">
        <v>384</v>
      </c>
      <c r="O33" s="5" t="s">
        <v>385</v>
      </c>
    </row>
    <row r="34" customFormat="false" ht="32.8" hidden="false" customHeight="false" outlineLevel="0" collapsed="false">
      <c r="A34" s="2" t="n">
        <v>33</v>
      </c>
      <c r="B34" s="3" t="s">
        <v>386</v>
      </c>
      <c r="C34" s="2" t="s">
        <v>387</v>
      </c>
      <c r="D34" s="2" t="n">
        <v>2024</v>
      </c>
      <c r="E34" s="2" t="s">
        <v>204</v>
      </c>
      <c r="F34" s="4" t="s">
        <v>388</v>
      </c>
      <c r="G34" s="2" t="s">
        <v>288</v>
      </c>
      <c r="H34" s="2" t="s">
        <v>389</v>
      </c>
      <c r="I34" s="2" t="s">
        <v>390</v>
      </c>
      <c r="J34" s="2" t="s">
        <v>391</v>
      </c>
      <c r="K34" s="2" t="s">
        <v>392</v>
      </c>
      <c r="L34" s="2" t="s">
        <v>393</v>
      </c>
      <c r="M34" s="2" t="s">
        <v>394</v>
      </c>
      <c r="N34" s="2" t="s">
        <v>395</v>
      </c>
      <c r="O34" s="2" t="s">
        <v>396</v>
      </c>
    </row>
    <row r="35" customFormat="false" ht="32.8" hidden="false" customHeight="false" outlineLevel="0" collapsed="false">
      <c r="A35" s="5" t="n">
        <v>34</v>
      </c>
      <c r="B35" s="6" t="s">
        <v>397</v>
      </c>
      <c r="C35" s="5" t="s">
        <v>398</v>
      </c>
      <c r="D35" s="5" t="n">
        <v>2025</v>
      </c>
      <c r="E35" s="5" t="s">
        <v>238</v>
      </c>
      <c r="F35" s="7" t="s">
        <v>399</v>
      </c>
      <c r="G35" s="5" t="s">
        <v>288</v>
      </c>
      <c r="H35" s="5" t="s">
        <v>400</v>
      </c>
      <c r="I35" s="5" t="s">
        <v>401</v>
      </c>
      <c r="J35" s="5" t="s">
        <v>402</v>
      </c>
      <c r="K35" s="5" t="s">
        <v>403</v>
      </c>
      <c r="L35" s="5" t="s">
        <v>404</v>
      </c>
      <c r="M35" s="5" t="s">
        <v>405</v>
      </c>
      <c r="N35" s="5" t="s">
        <v>406</v>
      </c>
      <c r="O35" s="5" t="s">
        <v>407</v>
      </c>
    </row>
    <row r="36" customFormat="false" ht="32.8" hidden="false" customHeight="false" outlineLevel="0" collapsed="false">
      <c r="A36" s="2" t="n">
        <v>35</v>
      </c>
      <c r="B36" s="3" t="s">
        <v>408</v>
      </c>
      <c r="C36" s="2" t="s">
        <v>409</v>
      </c>
      <c r="D36" s="2" t="n">
        <v>2026</v>
      </c>
      <c r="E36" s="2" t="s">
        <v>410</v>
      </c>
      <c r="F36" s="4" t="s">
        <v>411</v>
      </c>
      <c r="G36" s="2" t="s">
        <v>288</v>
      </c>
      <c r="H36" s="2" t="s">
        <v>412</v>
      </c>
      <c r="I36" s="2" t="s">
        <v>413</v>
      </c>
      <c r="J36" s="2" t="s">
        <v>414</v>
      </c>
      <c r="K36" s="2" t="s">
        <v>415</v>
      </c>
      <c r="L36" s="2" t="s">
        <v>416</v>
      </c>
      <c r="M36" s="2" t="s">
        <v>417</v>
      </c>
      <c r="N36" s="2" t="s">
        <v>418</v>
      </c>
      <c r="O36" s="2" t="s">
        <v>419</v>
      </c>
    </row>
    <row r="37" customFormat="false" ht="32.8" hidden="false" customHeight="false" outlineLevel="0" collapsed="false">
      <c r="A37" s="5" t="n">
        <v>36</v>
      </c>
      <c r="B37" s="6" t="s">
        <v>420</v>
      </c>
      <c r="C37" s="5" t="s">
        <v>421</v>
      </c>
      <c r="D37" s="5" t="n">
        <v>2025</v>
      </c>
      <c r="E37" s="5" t="s">
        <v>226</v>
      </c>
      <c r="F37" s="7" t="s">
        <v>422</v>
      </c>
      <c r="G37" s="5" t="s">
        <v>288</v>
      </c>
      <c r="H37" s="5" t="s">
        <v>423</v>
      </c>
      <c r="I37" s="5" t="s">
        <v>424</v>
      </c>
      <c r="J37" s="5" t="s">
        <v>425</v>
      </c>
      <c r="K37" s="5" t="s">
        <v>426</v>
      </c>
      <c r="L37" s="5" t="s">
        <v>427</v>
      </c>
      <c r="M37" s="5" t="s">
        <v>428</v>
      </c>
      <c r="N37" s="5" t="s">
        <v>429</v>
      </c>
      <c r="O37" s="5" t="s">
        <v>430</v>
      </c>
    </row>
    <row r="38" customFormat="false" ht="32.8" hidden="false" customHeight="false" outlineLevel="0" collapsed="false">
      <c r="A38" s="2" t="n">
        <v>37</v>
      </c>
      <c r="B38" s="3" t="s">
        <v>431</v>
      </c>
      <c r="C38" s="2" t="s">
        <v>432</v>
      </c>
      <c r="D38" s="2" t="n">
        <v>2023</v>
      </c>
      <c r="E38" s="2" t="s">
        <v>112</v>
      </c>
      <c r="F38" s="4" t="s">
        <v>433</v>
      </c>
      <c r="G38" s="2" t="s">
        <v>434</v>
      </c>
      <c r="H38" s="2" t="s">
        <v>435</v>
      </c>
      <c r="I38" s="2" t="s">
        <v>436</v>
      </c>
      <c r="J38" s="2" t="s">
        <v>437</v>
      </c>
      <c r="K38" s="2" t="s">
        <v>438</v>
      </c>
      <c r="L38" s="2" t="s">
        <v>439</v>
      </c>
      <c r="M38" s="2" t="s">
        <v>440</v>
      </c>
      <c r="N38" s="2" t="s">
        <v>441</v>
      </c>
      <c r="O38" s="2" t="s">
        <v>442</v>
      </c>
    </row>
    <row r="39" customFormat="false" ht="32.8" hidden="false" customHeight="false" outlineLevel="0" collapsed="false">
      <c r="A39" s="5" t="n">
        <v>38</v>
      </c>
      <c r="B39" s="6" t="s">
        <v>443</v>
      </c>
      <c r="C39" s="5" t="s">
        <v>444</v>
      </c>
      <c r="D39" s="5" t="n">
        <v>2024</v>
      </c>
      <c r="E39" s="5" t="s">
        <v>445</v>
      </c>
      <c r="F39" s="7" t="s">
        <v>446</v>
      </c>
      <c r="G39" s="5" t="s">
        <v>434</v>
      </c>
      <c r="H39" s="5" t="s">
        <v>447</v>
      </c>
      <c r="I39" s="5" t="s">
        <v>448</v>
      </c>
      <c r="J39" s="5" t="s">
        <v>449</v>
      </c>
      <c r="K39" s="5" t="s">
        <v>450</v>
      </c>
      <c r="L39" s="5" t="s">
        <v>451</v>
      </c>
      <c r="M39" s="5" t="s">
        <v>452</v>
      </c>
      <c r="N39" s="5" t="s">
        <v>453</v>
      </c>
      <c r="O39" s="5" t="s">
        <v>454</v>
      </c>
    </row>
    <row r="40" customFormat="false" ht="22.35" hidden="false" customHeight="false" outlineLevel="0" collapsed="false">
      <c r="A40" s="2" t="n">
        <v>39</v>
      </c>
      <c r="B40" s="3" t="s">
        <v>455</v>
      </c>
      <c r="C40" s="2" t="s">
        <v>456</v>
      </c>
      <c r="D40" s="2" t="n">
        <v>2023</v>
      </c>
      <c r="E40" s="2" t="s">
        <v>457</v>
      </c>
      <c r="F40" s="4" t="s">
        <v>458</v>
      </c>
      <c r="G40" s="2" t="s">
        <v>434</v>
      </c>
      <c r="H40" s="2" t="s">
        <v>459</v>
      </c>
      <c r="I40" s="2" t="s">
        <v>460</v>
      </c>
      <c r="J40" s="2" t="s">
        <v>461</v>
      </c>
      <c r="K40" s="2" t="s">
        <v>462</v>
      </c>
      <c r="L40" s="2" t="s">
        <v>463</v>
      </c>
      <c r="M40" s="2" t="s">
        <v>464</v>
      </c>
      <c r="N40" s="2" t="s">
        <v>465</v>
      </c>
      <c r="O40" s="2" t="s">
        <v>466</v>
      </c>
    </row>
    <row r="41" customFormat="false" ht="22.35" hidden="false" customHeight="false" outlineLevel="0" collapsed="false">
      <c r="A41" s="5" t="n">
        <v>40</v>
      </c>
      <c r="B41" s="6" t="s">
        <v>467</v>
      </c>
      <c r="C41" s="5" t="s">
        <v>468</v>
      </c>
      <c r="D41" s="5" t="n">
        <v>2023</v>
      </c>
      <c r="E41" s="5" t="s">
        <v>146</v>
      </c>
      <c r="F41" s="7" t="s">
        <v>469</v>
      </c>
      <c r="G41" s="5" t="s">
        <v>434</v>
      </c>
      <c r="H41" s="5" t="s">
        <v>470</v>
      </c>
      <c r="I41" s="5" t="s">
        <v>471</v>
      </c>
      <c r="J41" s="5" t="s">
        <v>472</v>
      </c>
      <c r="K41" s="5" t="s">
        <v>473</v>
      </c>
      <c r="L41" s="5" t="s">
        <v>474</v>
      </c>
      <c r="M41" s="5" t="s">
        <v>475</v>
      </c>
      <c r="N41" s="5" t="s">
        <v>476</v>
      </c>
      <c r="O41" s="5" t="s">
        <v>477</v>
      </c>
    </row>
    <row r="42" customFormat="false" ht="32.8" hidden="false" customHeight="false" outlineLevel="0" collapsed="false">
      <c r="A42" s="2" t="n">
        <v>41</v>
      </c>
      <c r="B42" s="3" t="s">
        <v>478</v>
      </c>
      <c r="C42" s="2" t="s">
        <v>479</v>
      </c>
      <c r="D42" s="2" t="n">
        <v>2024</v>
      </c>
      <c r="E42" s="2" t="s">
        <v>124</v>
      </c>
      <c r="F42" s="4" t="s">
        <v>480</v>
      </c>
      <c r="G42" s="2" t="s">
        <v>434</v>
      </c>
      <c r="H42" s="2" t="s">
        <v>481</v>
      </c>
      <c r="I42" s="2" t="s">
        <v>482</v>
      </c>
      <c r="J42" s="2" t="s">
        <v>483</v>
      </c>
      <c r="K42" s="2" t="s">
        <v>484</v>
      </c>
      <c r="L42" s="2" t="s">
        <v>485</v>
      </c>
      <c r="M42" s="2" t="s">
        <v>486</v>
      </c>
      <c r="N42" s="2" t="s">
        <v>487</v>
      </c>
      <c r="O42" s="2" t="s">
        <v>488</v>
      </c>
    </row>
    <row r="43" customFormat="false" ht="22.35" hidden="false" customHeight="false" outlineLevel="0" collapsed="false">
      <c r="A43" s="5" t="n">
        <v>42</v>
      </c>
      <c r="B43" s="6" t="s">
        <v>489</v>
      </c>
      <c r="C43" s="5" t="s">
        <v>490</v>
      </c>
      <c r="D43" s="5" t="n">
        <v>2024</v>
      </c>
      <c r="E43" s="5" t="s">
        <v>491</v>
      </c>
      <c r="F43" s="7" t="s">
        <v>492</v>
      </c>
      <c r="G43" s="5" t="s">
        <v>434</v>
      </c>
      <c r="H43" s="5" t="s">
        <v>493</v>
      </c>
      <c r="I43" s="5" t="s">
        <v>494</v>
      </c>
      <c r="J43" s="5" t="s">
        <v>495</v>
      </c>
      <c r="K43" s="5" t="s">
        <v>496</v>
      </c>
      <c r="L43" s="5" t="s">
        <v>497</v>
      </c>
      <c r="M43" s="5" t="s">
        <v>498</v>
      </c>
      <c r="N43" s="5" t="s">
        <v>499</v>
      </c>
      <c r="O43" s="5" t="s">
        <v>500</v>
      </c>
    </row>
    <row r="44" customFormat="false" ht="32.8" hidden="false" customHeight="false" outlineLevel="0" collapsed="false">
      <c r="A44" s="2" t="n">
        <v>43</v>
      </c>
      <c r="B44" s="3" t="s">
        <v>501</v>
      </c>
      <c r="C44" s="2" t="s">
        <v>502</v>
      </c>
      <c r="D44" s="2" t="n">
        <v>2024</v>
      </c>
      <c r="E44" s="2" t="s">
        <v>377</v>
      </c>
      <c r="F44" s="4" t="s">
        <v>503</v>
      </c>
      <c r="G44" s="2" t="s">
        <v>434</v>
      </c>
      <c r="H44" s="2" t="s">
        <v>504</v>
      </c>
      <c r="I44" s="2" t="s">
        <v>505</v>
      </c>
      <c r="J44" s="2" t="s">
        <v>506</v>
      </c>
      <c r="K44" s="2" t="s">
        <v>507</v>
      </c>
      <c r="L44" s="2" t="s">
        <v>508</v>
      </c>
      <c r="M44" s="2" t="s">
        <v>509</v>
      </c>
      <c r="N44" s="2" t="s">
        <v>510</v>
      </c>
      <c r="O44" s="2" t="s">
        <v>511</v>
      </c>
    </row>
    <row r="45" customFormat="false" ht="22.35" hidden="false" customHeight="false" outlineLevel="0" collapsed="false">
      <c r="A45" s="5" t="n">
        <v>44</v>
      </c>
      <c r="B45" s="6" t="s">
        <v>512</v>
      </c>
      <c r="C45" s="5" t="s">
        <v>513</v>
      </c>
      <c r="D45" s="5" t="n">
        <v>2023</v>
      </c>
      <c r="E45" s="5" t="s">
        <v>146</v>
      </c>
      <c r="F45" s="7" t="s">
        <v>514</v>
      </c>
      <c r="G45" s="5" t="s">
        <v>434</v>
      </c>
      <c r="H45" s="5" t="s">
        <v>515</v>
      </c>
      <c r="I45" s="5" t="s">
        <v>516</v>
      </c>
      <c r="J45" s="5" t="s">
        <v>517</v>
      </c>
      <c r="K45" s="5" t="s">
        <v>518</v>
      </c>
      <c r="L45" s="5" t="s">
        <v>519</v>
      </c>
      <c r="M45" s="5" t="s">
        <v>520</v>
      </c>
      <c r="N45" s="5" t="s">
        <v>521</v>
      </c>
      <c r="O45" s="5" t="s">
        <v>522</v>
      </c>
    </row>
    <row r="46" customFormat="false" ht="32.8" hidden="false" customHeight="false" outlineLevel="0" collapsed="false">
      <c r="A46" s="2" t="n">
        <v>45</v>
      </c>
      <c r="B46" s="3" t="s">
        <v>523</v>
      </c>
      <c r="C46" s="2" t="s">
        <v>524</v>
      </c>
      <c r="D46" s="2" t="n">
        <v>2025</v>
      </c>
      <c r="E46" s="2" t="s">
        <v>525</v>
      </c>
      <c r="F46" s="4" t="s">
        <v>526</v>
      </c>
      <c r="G46" s="2" t="s">
        <v>434</v>
      </c>
      <c r="H46" s="2" t="s">
        <v>527</v>
      </c>
      <c r="I46" s="2" t="s">
        <v>528</v>
      </c>
      <c r="J46" s="2" t="s">
        <v>529</v>
      </c>
      <c r="K46" s="2" t="s">
        <v>530</v>
      </c>
      <c r="L46" s="2" t="s">
        <v>531</v>
      </c>
      <c r="M46" s="2" t="s">
        <v>532</v>
      </c>
      <c r="N46" s="2" t="s">
        <v>533</v>
      </c>
      <c r="O46" s="2" t="s">
        <v>534</v>
      </c>
    </row>
    <row r="47" customFormat="false" ht="32.8" hidden="false" customHeight="false" outlineLevel="0" collapsed="false">
      <c r="A47" s="5" t="n">
        <v>46</v>
      </c>
      <c r="B47" s="6" t="s">
        <v>535</v>
      </c>
      <c r="C47" s="5" t="s">
        <v>536</v>
      </c>
      <c r="D47" s="5" t="n">
        <v>2025</v>
      </c>
      <c r="E47" s="5" t="s">
        <v>274</v>
      </c>
      <c r="F47" s="7" t="s">
        <v>537</v>
      </c>
      <c r="G47" s="5" t="s">
        <v>434</v>
      </c>
      <c r="H47" s="5" t="s">
        <v>538</v>
      </c>
      <c r="I47" s="5" t="s">
        <v>539</v>
      </c>
      <c r="J47" s="5" t="s">
        <v>540</v>
      </c>
      <c r="K47" s="5" t="s">
        <v>541</v>
      </c>
      <c r="L47" s="5" t="s">
        <v>542</v>
      </c>
      <c r="M47" s="5" t="s">
        <v>543</v>
      </c>
      <c r="N47" s="5" t="s">
        <v>544</v>
      </c>
      <c r="O47" s="5" t="s">
        <v>545</v>
      </c>
    </row>
    <row r="48" customFormat="false" ht="22.35" hidden="false" customHeight="false" outlineLevel="0" collapsed="false">
      <c r="A48" s="2" t="n">
        <v>47</v>
      </c>
      <c r="B48" s="3" t="s">
        <v>546</v>
      </c>
      <c r="C48" s="2" t="s">
        <v>547</v>
      </c>
      <c r="D48" s="2" t="n">
        <v>2025</v>
      </c>
      <c r="E48" s="2" t="s">
        <v>226</v>
      </c>
      <c r="F48" s="4" t="s">
        <v>548</v>
      </c>
      <c r="G48" s="2" t="s">
        <v>434</v>
      </c>
      <c r="H48" s="2" t="s">
        <v>549</v>
      </c>
      <c r="I48" s="2" t="s">
        <v>550</v>
      </c>
      <c r="J48" s="2" t="s">
        <v>551</v>
      </c>
      <c r="K48" s="2" t="s">
        <v>552</v>
      </c>
      <c r="L48" s="2" t="s">
        <v>553</v>
      </c>
      <c r="M48" s="2" t="s">
        <v>554</v>
      </c>
      <c r="N48" s="2" t="s">
        <v>555</v>
      </c>
      <c r="O48" s="2" t="s">
        <v>556</v>
      </c>
    </row>
    <row r="49" customFormat="false" ht="32.8" hidden="false" customHeight="false" outlineLevel="0" collapsed="false">
      <c r="A49" s="5" t="n">
        <v>48</v>
      </c>
      <c r="B49" s="6" t="s">
        <v>557</v>
      </c>
      <c r="C49" s="5" t="s">
        <v>558</v>
      </c>
      <c r="D49" s="5" t="n">
        <v>2025</v>
      </c>
      <c r="E49" s="5" t="s">
        <v>226</v>
      </c>
      <c r="F49" s="7" t="s">
        <v>559</v>
      </c>
      <c r="G49" s="5" t="s">
        <v>252</v>
      </c>
      <c r="H49" s="5" t="s">
        <v>560</v>
      </c>
      <c r="I49" s="5" t="s">
        <v>561</v>
      </c>
      <c r="J49" s="5" t="s">
        <v>562</v>
      </c>
      <c r="K49" s="5" t="s">
        <v>563</v>
      </c>
      <c r="L49" s="5" t="s">
        <v>564</v>
      </c>
      <c r="M49" s="5" t="s">
        <v>565</v>
      </c>
      <c r="N49" s="5" t="s">
        <v>566</v>
      </c>
      <c r="O49" s="5" t="s">
        <v>567</v>
      </c>
    </row>
    <row r="50" customFormat="false" ht="32.8" hidden="false" customHeight="false" outlineLevel="0" collapsed="false">
      <c r="A50" s="2" t="n">
        <v>49</v>
      </c>
      <c r="B50" s="3" t="s">
        <v>568</v>
      </c>
      <c r="C50" s="2" t="s">
        <v>569</v>
      </c>
      <c r="D50" s="2" t="n">
        <v>2025</v>
      </c>
      <c r="E50" s="2" t="s">
        <v>570</v>
      </c>
      <c r="F50" s="4" t="s">
        <v>571</v>
      </c>
      <c r="G50" s="2" t="s">
        <v>252</v>
      </c>
      <c r="H50" s="2" t="s">
        <v>572</v>
      </c>
      <c r="I50" s="2" t="s">
        <v>573</v>
      </c>
      <c r="J50" s="2" t="s">
        <v>574</v>
      </c>
      <c r="K50" s="2" t="s">
        <v>575</v>
      </c>
      <c r="L50" s="2" t="s">
        <v>576</v>
      </c>
      <c r="M50" s="2" t="s">
        <v>577</v>
      </c>
      <c r="N50" s="2" t="s">
        <v>578</v>
      </c>
      <c r="O50" s="2" t="s">
        <v>579</v>
      </c>
    </row>
    <row r="51" customFormat="false" ht="32.8" hidden="false" customHeight="false" outlineLevel="0" collapsed="false">
      <c r="A51" s="5" t="n">
        <v>50</v>
      </c>
      <c r="B51" s="6" t="s">
        <v>580</v>
      </c>
      <c r="C51" s="5" t="s">
        <v>581</v>
      </c>
      <c r="D51" s="5" t="n">
        <v>2025</v>
      </c>
      <c r="E51" s="5" t="s">
        <v>226</v>
      </c>
      <c r="F51" s="7" t="s">
        <v>582</v>
      </c>
      <c r="G51" s="5" t="s">
        <v>252</v>
      </c>
      <c r="H51" s="5" t="s">
        <v>583</v>
      </c>
      <c r="I51" s="5" t="s">
        <v>584</v>
      </c>
      <c r="J51" s="5" t="s">
        <v>585</v>
      </c>
      <c r="K51" s="5" t="s">
        <v>586</v>
      </c>
      <c r="L51" s="5" t="s">
        <v>587</v>
      </c>
      <c r="M51" s="5" t="s">
        <v>588</v>
      </c>
      <c r="N51" s="5" t="s">
        <v>589</v>
      </c>
      <c r="O51" s="5" t="s">
        <v>590</v>
      </c>
    </row>
    <row r="52" customFormat="false" ht="22.35" hidden="false" customHeight="false" outlineLevel="0" collapsed="false">
      <c r="A52" s="2" t="n">
        <v>51</v>
      </c>
      <c r="B52" s="3" t="s">
        <v>591</v>
      </c>
      <c r="C52" s="2" t="s">
        <v>592</v>
      </c>
      <c r="D52" s="2" t="n">
        <v>2025</v>
      </c>
      <c r="E52" s="2" t="s">
        <v>274</v>
      </c>
      <c r="F52" s="4" t="s">
        <v>593</v>
      </c>
      <c r="G52" s="2" t="s">
        <v>434</v>
      </c>
      <c r="H52" s="2" t="s">
        <v>594</v>
      </c>
      <c r="I52" s="2" t="s">
        <v>195</v>
      </c>
      <c r="J52" s="2" t="s">
        <v>595</v>
      </c>
      <c r="K52" s="2" t="s">
        <v>596</v>
      </c>
      <c r="L52" s="2" t="s">
        <v>597</v>
      </c>
      <c r="M52" s="2" t="s">
        <v>598</v>
      </c>
      <c r="N52" s="2" t="s">
        <v>599</v>
      </c>
      <c r="O52" s="2" t="s">
        <v>600</v>
      </c>
    </row>
    <row r="53" customFormat="false" ht="32.8" hidden="false" customHeight="false" outlineLevel="0" collapsed="false">
      <c r="A53" s="5" t="n">
        <v>52</v>
      </c>
      <c r="B53" s="6" t="s">
        <v>601</v>
      </c>
      <c r="C53" s="5" t="s">
        <v>602</v>
      </c>
      <c r="D53" s="5" t="n">
        <v>2026</v>
      </c>
      <c r="E53" s="5" t="s">
        <v>354</v>
      </c>
      <c r="F53" s="7" t="s">
        <v>603</v>
      </c>
      <c r="G53" s="5" t="s">
        <v>434</v>
      </c>
      <c r="H53" s="5" t="s">
        <v>604</v>
      </c>
      <c r="I53" s="5" t="s">
        <v>605</v>
      </c>
      <c r="J53" s="5" t="s">
        <v>606</v>
      </c>
      <c r="K53" s="5" t="s">
        <v>607</v>
      </c>
      <c r="L53" s="5" t="s">
        <v>608</v>
      </c>
      <c r="M53" s="5" t="s">
        <v>609</v>
      </c>
      <c r="N53" s="5" t="s">
        <v>610</v>
      </c>
      <c r="O53" s="5" t="s">
        <v>611</v>
      </c>
    </row>
    <row r="54" customFormat="false" ht="32.8" hidden="false" customHeight="false" outlineLevel="0" collapsed="false">
      <c r="A54" s="2" t="n">
        <v>53</v>
      </c>
      <c r="B54" s="3" t="s">
        <v>612</v>
      </c>
      <c r="C54" s="2" t="s">
        <v>613</v>
      </c>
      <c r="D54" s="2" t="n">
        <v>2025</v>
      </c>
      <c r="E54" s="2" t="s">
        <v>614</v>
      </c>
      <c r="F54" s="4" t="s">
        <v>615</v>
      </c>
      <c r="G54" s="2" t="s">
        <v>434</v>
      </c>
      <c r="H54" s="2" t="s">
        <v>616</v>
      </c>
      <c r="I54" s="2" t="s">
        <v>617</v>
      </c>
      <c r="J54" s="2" t="s">
        <v>618</v>
      </c>
      <c r="K54" s="2" t="s">
        <v>619</v>
      </c>
      <c r="L54" s="2" t="s">
        <v>620</v>
      </c>
      <c r="M54" s="2" t="s">
        <v>621</v>
      </c>
      <c r="N54" s="2" t="s">
        <v>622</v>
      </c>
      <c r="O54" s="2" t="s">
        <v>623</v>
      </c>
    </row>
    <row r="55" customFormat="false" ht="32.8" hidden="false" customHeight="false" outlineLevel="0" collapsed="false">
      <c r="A55" s="5" t="n">
        <v>54</v>
      </c>
      <c r="B55" s="6" t="s">
        <v>624</v>
      </c>
      <c r="C55" s="5" t="s">
        <v>625</v>
      </c>
      <c r="D55" s="5" t="n">
        <v>2026</v>
      </c>
      <c r="E55" s="5" t="s">
        <v>410</v>
      </c>
      <c r="F55" s="7" t="s">
        <v>626</v>
      </c>
      <c r="G55" s="5" t="s">
        <v>434</v>
      </c>
      <c r="H55" s="5" t="s">
        <v>627</v>
      </c>
      <c r="I55" s="5" t="s">
        <v>628</v>
      </c>
      <c r="J55" s="5" t="s">
        <v>629</v>
      </c>
      <c r="K55" s="5" t="s">
        <v>630</v>
      </c>
      <c r="L55" s="5" t="s">
        <v>631</v>
      </c>
      <c r="M55" s="5" t="s">
        <v>417</v>
      </c>
      <c r="N55" s="5" t="s">
        <v>632</v>
      </c>
      <c r="O55" s="5" t="s">
        <v>633</v>
      </c>
    </row>
    <row r="56" customFormat="false" ht="32.8" hidden="false" customHeight="false" outlineLevel="0" collapsed="false">
      <c r="A56" s="2" t="n">
        <v>55</v>
      </c>
      <c r="B56" s="3" t="s">
        <v>634</v>
      </c>
      <c r="C56" s="2" t="s">
        <v>635</v>
      </c>
      <c r="D56" s="2" t="n">
        <v>2025</v>
      </c>
      <c r="E56" s="2" t="s">
        <v>614</v>
      </c>
      <c r="F56" s="4" t="s">
        <v>636</v>
      </c>
      <c r="G56" s="2" t="s">
        <v>434</v>
      </c>
      <c r="H56" s="2" t="s">
        <v>637</v>
      </c>
      <c r="I56" s="2" t="s">
        <v>638</v>
      </c>
      <c r="J56" s="2" t="s">
        <v>639</v>
      </c>
      <c r="K56" s="2" t="s">
        <v>640</v>
      </c>
      <c r="L56" s="2" t="s">
        <v>641</v>
      </c>
      <c r="M56" s="2" t="s">
        <v>417</v>
      </c>
      <c r="N56" s="2" t="s">
        <v>642</v>
      </c>
      <c r="O56" s="2" t="s">
        <v>643</v>
      </c>
    </row>
    <row r="57" customFormat="false" ht="32.8" hidden="false" customHeight="false" outlineLevel="0" collapsed="false">
      <c r="A57" s="5" t="n">
        <v>56</v>
      </c>
      <c r="B57" s="6" t="s">
        <v>644</v>
      </c>
      <c r="C57" s="5" t="s">
        <v>645</v>
      </c>
      <c r="D57" s="5" t="n">
        <v>2026</v>
      </c>
      <c r="E57" s="5" t="s">
        <v>410</v>
      </c>
      <c r="F57" s="7" t="s">
        <v>646</v>
      </c>
      <c r="G57" s="5" t="s">
        <v>434</v>
      </c>
      <c r="H57" s="5" t="s">
        <v>647</v>
      </c>
      <c r="I57" s="5" t="s">
        <v>648</v>
      </c>
      <c r="J57" s="5" t="s">
        <v>649</v>
      </c>
      <c r="K57" s="5" t="s">
        <v>650</v>
      </c>
      <c r="L57" s="5" t="s">
        <v>651</v>
      </c>
      <c r="M57" s="5" t="s">
        <v>417</v>
      </c>
      <c r="N57" s="5" t="s">
        <v>652</v>
      </c>
      <c r="O57" s="5" t="s">
        <v>653</v>
      </c>
    </row>
    <row r="58" customFormat="false" ht="32.8" hidden="false" customHeight="false" outlineLevel="0" collapsed="false">
      <c r="A58" s="2" t="n">
        <v>57</v>
      </c>
      <c r="B58" s="3" t="s">
        <v>654</v>
      </c>
      <c r="C58" s="2" t="s">
        <v>655</v>
      </c>
      <c r="D58" s="2" t="n">
        <v>2026</v>
      </c>
      <c r="E58" s="2" t="s">
        <v>354</v>
      </c>
      <c r="F58" s="4" t="s">
        <v>656</v>
      </c>
      <c r="G58" s="2" t="s">
        <v>434</v>
      </c>
      <c r="H58" s="2" t="s">
        <v>657</v>
      </c>
      <c r="I58" s="2" t="s">
        <v>658</v>
      </c>
      <c r="J58" s="2" t="s">
        <v>659</v>
      </c>
      <c r="K58" s="2" t="s">
        <v>660</v>
      </c>
      <c r="L58" s="2" t="s">
        <v>661</v>
      </c>
      <c r="M58" s="2" t="s">
        <v>417</v>
      </c>
      <c r="N58" s="2" t="s">
        <v>662</v>
      </c>
      <c r="O58" s="2" t="s">
        <v>663</v>
      </c>
    </row>
    <row r="59" customFormat="false" ht="22.35" hidden="false" customHeight="false" outlineLevel="0" collapsed="false">
      <c r="A59" s="5" t="n">
        <v>58</v>
      </c>
      <c r="B59" s="6" t="s">
        <v>664</v>
      </c>
      <c r="C59" s="5" t="s">
        <v>665</v>
      </c>
      <c r="D59" s="5" t="n">
        <v>2025</v>
      </c>
      <c r="E59" s="5" t="s">
        <v>226</v>
      </c>
      <c r="F59" s="7" t="s">
        <v>666</v>
      </c>
      <c r="G59" s="5" t="s">
        <v>434</v>
      </c>
      <c r="H59" s="5" t="s">
        <v>667</v>
      </c>
      <c r="I59" s="5" t="s">
        <v>668</v>
      </c>
      <c r="J59" s="5" t="s">
        <v>669</v>
      </c>
      <c r="K59" s="5" t="s">
        <v>670</v>
      </c>
      <c r="L59" s="5" t="s">
        <v>671</v>
      </c>
      <c r="M59" s="5" t="s">
        <v>417</v>
      </c>
      <c r="N59" s="5" t="s">
        <v>672</v>
      </c>
      <c r="O59" s="5" t="s">
        <v>673</v>
      </c>
    </row>
    <row r="60" customFormat="false" ht="32.8" hidden="false" customHeight="false" outlineLevel="0" collapsed="false">
      <c r="A60" s="2" t="n">
        <v>59</v>
      </c>
      <c r="B60" s="3" t="s">
        <v>674</v>
      </c>
      <c r="C60" s="2" t="s">
        <v>675</v>
      </c>
      <c r="D60" s="2" t="n">
        <v>2024</v>
      </c>
      <c r="E60" s="2" t="s">
        <v>445</v>
      </c>
      <c r="F60" s="4" t="s">
        <v>676</v>
      </c>
      <c r="G60" s="2" t="s">
        <v>677</v>
      </c>
      <c r="H60" s="2" t="s">
        <v>678</v>
      </c>
      <c r="I60" s="2" t="s">
        <v>679</v>
      </c>
      <c r="J60" s="2" t="s">
        <v>680</v>
      </c>
      <c r="K60" s="2" t="s">
        <v>681</v>
      </c>
      <c r="L60" s="2" t="s">
        <v>682</v>
      </c>
      <c r="M60" s="2" t="s">
        <v>683</v>
      </c>
      <c r="N60" s="2" t="s">
        <v>684</v>
      </c>
      <c r="O60" s="2" t="s">
        <v>685</v>
      </c>
    </row>
    <row r="61" customFormat="false" ht="22.35" hidden="false" customHeight="false" outlineLevel="0" collapsed="false">
      <c r="A61" s="5" t="n">
        <v>60</v>
      </c>
      <c r="B61" s="6" t="s">
        <v>686</v>
      </c>
      <c r="C61" s="5" t="s">
        <v>687</v>
      </c>
      <c r="D61" s="5" t="n">
        <v>2024</v>
      </c>
      <c r="E61" s="5" t="s">
        <v>688</v>
      </c>
      <c r="F61" s="7" t="s">
        <v>689</v>
      </c>
      <c r="G61" s="5" t="s">
        <v>677</v>
      </c>
      <c r="H61" s="5" t="s">
        <v>690</v>
      </c>
      <c r="I61" s="5" t="s">
        <v>691</v>
      </c>
      <c r="J61" s="5" t="s">
        <v>692</v>
      </c>
      <c r="K61" s="5" t="s">
        <v>693</v>
      </c>
      <c r="L61" s="5" t="s">
        <v>694</v>
      </c>
      <c r="M61" s="5" t="s">
        <v>695</v>
      </c>
      <c r="N61" s="5" t="s">
        <v>696</v>
      </c>
      <c r="O61" s="5" t="s">
        <v>697</v>
      </c>
    </row>
    <row r="62" customFormat="false" ht="32.8" hidden="false" customHeight="false" outlineLevel="0" collapsed="false">
      <c r="A62" s="2" t="n">
        <v>61</v>
      </c>
      <c r="B62" s="3" t="s">
        <v>698</v>
      </c>
      <c r="C62" s="2" t="s">
        <v>699</v>
      </c>
      <c r="D62" s="2" t="n">
        <v>2025</v>
      </c>
      <c r="E62" s="2" t="s">
        <v>238</v>
      </c>
      <c r="F62" s="4" t="s">
        <v>700</v>
      </c>
      <c r="G62" s="2" t="s">
        <v>677</v>
      </c>
      <c r="H62" s="2" t="s">
        <v>690</v>
      </c>
      <c r="I62" s="2" t="s">
        <v>701</v>
      </c>
      <c r="J62" s="2" t="s">
        <v>702</v>
      </c>
      <c r="K62" s="2" t="s">
        <v>703</v>
      </c>
      <c r="L62" s="2" t="s">
        <v>704</v>
      </c>
      <c r="M62" s="2" t="s">
        <v>705</v>
      </c>
      <c r="N62" s="2" t="s">
        <v>706</v>
      </c>
      <c r="O62" s="2" t="s">
        <v>707</v>
      </c>
    </row>
    <row r="63" customFormat="false" ht="32.8" hidden="false" customHeight="false" outlineLevel="0" collapsed="false">
      <c r="A63" s="5" t="n">
        <v>62</v>
      </c>
      <c r="B63" s="6" t="s">
        <v>708</v>
      </c>
      <c r="C63" s="5" t="s">
        <v>709</v>
      </c>
      <c r="D63" s="5" t="n">
        <v>2025</v>
      </c>
      <c r="E63" s="5" t="s">
        <v>238</v>
      </c>
      <c r="F63" s="7" t="s">
        <v>710</v>
      </c>
      <c r="G63" s="5" t="s">
        <v>677</v>
      </c>
      <c r="H63" s="5" t="s">
        <v>711</v>
      </c>
      <c r="I63" s="5" t="s">
        <v>712</v>
      </c>
      <c r="J63" s="5" t="s">
        <v>713</v>
      </c>
      <c r="K63" s="5" t="s">
        <v>714</v>
      </c>
      <c r="L63" s="5" t="s">
        <v>715</v>
      </c>
      <c r="M63" s="5" t="s">
        <v>716</v>
      </c>
      <c r="N63" s="5" t="s">
        <v>717</v>
      </c>
      <c r="O63" s="5" t="s">
        <v>718</v>
      </c>
    </row>
    <row r="64" customFormat="false" ht="32.8" hidden="false" customHeight="false" outlineLevel="0" collapsed="false">
      <c r="A64" s="2" t="n">
        <v>63</v>
      </c>
      <c r="B64" s="3" t="s">
        <v>719</v>
      </c>
      <c r="C64" s="2" t="s">
        <v>720</v>
      </c>
      <c r="D64" s="2" t="n">
        <v>2025</v>
      </c>
      <c r="E64" s="2" t="s">
        <v>226</v>
      </c>
      <c r="F64" s="4" t="s">
        <v>721</v>
      </c>
      <c r="G64" s="2" t="s">
        <v>677</v>
      </c>
      <c r="H64" s="2" t="s">
        <v>711</v>
      </c>
      <c r="I64" s="2" t="s">
        <v>722</v>
      </c>
      <c r="J64" s="2" t="s">
        <v>723</v>
      </c>
      <c r="K64" s="2" t="s">
        <v>724</v>
      </c>
      <c r="L64" s="2" t="s">
        <v>725</v>
      </c>
      <c r="M64" s="2" t="s">
        <v>726</v>
      </c>
      <c r="N64" s="2" t="s">
        <v>727</v>
      </c>
      <c r="O64" s="2" t="s">
        <v>728</v>
      </c>
    </row>
    <row r="65" customFormat="false" ht="32.8" hidden="false" customHeight="false" outlineLevel="0" collapsed="false">
      <c r="A65" s="5" t="n">
        <v>64</v>
      </c>
      <c r="B65" s="6" t="s">
        <v>729</v>
      </c>
      <c r="C65" s="5" t="s">
        <v>730</v>
      </c>
      <c r="D65" s="5" t="n">
        <v>2025</v>
      </c>
      <c r="E65" s="5" t="s">
        <v>570</v>
      </c>
      <c r="F65" s="7" t="s">
        <v>731</v>
      </c>
      <c r="G65" s="5" t="s">
        <v>677</v>
      </c>
      <c r="H65" s="5" t="s">
        <v>732</v>
      </c>
      <c r="I65" s="5" t="s">
        <v>733</v>
      </c>
      <c r="J65" s="5" t="s">
        <v>734</v>
      </c>
      <c r="K65" s="5" t="s">
        <v>735</v>
      </c>
      <c r="L65" s="5" t="s">
        <v>736</v>
      </c>
      <c r="M65" s="5" t="s">
        <v>737</v>
      </c>
      <c r="N65" s="5" t="s">
        <v>738</v>
      </c>
      <c r="O65" s="5" t="s">
        <v>739</v>
      </c>
    </row>
    <row r="66" customFormat="false" ht="32.8" hidden="false" customHeight="false" outlineLevel="0" collapsed="false">
      <c r="A66" s="2" t="n">
        <v>65</v>
      </c>
      <c r="B66" s="3" t="s">
        <v>740</v>
      </c>
      <c r="C66" s="2" t="s">
        <v>741</v>
      </c>
      <c r="D66" s="2" t="n">
        <v>2025</v>
      </c>
      <c r="E66" s="2" t="s">
        <v>742</v>
      </c>
      <c r="F66" s="4" t="s">
        <v>743</v>
      </c>
      <c r="G66" s="2" t="s">
        <v>677</v>
      </c>
      <c r="H66" s="2" t="s">
        <v>744</v>
      </c>
      <c r="I66" s="2" t="s">
        <v>745</v>
      </c>
      <c r="J66" s="2" t="s">
        <v>746</v>
      </c>
      <c r="K66" s="2" t="s">
        <v>747</v>
      </c>
      <c r="L66" s="2" t="s">
        <v>748</v>
      </c>
      <c r="M66" s="2" t="s">
        <v>749</v>
      </c>
      <c r="N66" s="2" t="s">
        <v>750</v>
      </c>
      <c r="O66" s="2" t="s">
        <v>751</v>
      </c>
    </row>
    <row r="67" customFormat="false" ht="32.8" hidden="false" customHeight="false" outlineLevel="0" collapsed="false">
      <c r="A67" s="5" t="n">
        <v>66</v>
      </c>
      <c r="B67" s="6" t="s">
        <v>752</v>
      </c>
      <c r="C67" s="5" t="s">
        <v>753</v>
      </c>
      <c r="D67" s="5" t="n">
        <v>2025</v>
      </c>
      <c r="E67" s="5" t="s">
        <v>742</v>
      </c>
      <c r="F67" s="7" t="s">
        <v>754</v>
      </c>
      <c r="G67" s="5" t="s">
        <v>677</v>
      </c>
      <c r="H67" s="5" t="s">
        <v>732</v>
      </c>
      <c r="I67" s="5" t="s">
        <v>755</v>
      </c>
      <c r="J67" s="5" t="s">
        <v>756</v>
      </c>
      <c r="K67" s="5" t="s">
        <v>757</v>
      </c>
      <c r="L67" s="5" t="s">
        <v>758</v>
      </c>
      <c r="M67" s="5" t="s">
        <v>759</v>
      </c>
      <c r="N67" s="5" t="s">
        <v>760</v>
      </c>
      <c r="O67" s="5" t="s">
        <v>761</v>
      </c>
    </row>
    <row r="68" customFormat="false" ht="32.8" hidden="false" customHeight="false" outlineLevel="0" collapsed="false">
      <c r="A68" s="2" t="n">
        <v>67</v>
      </c>
      <c r="B68" s="3" t="s">
        <v>762</v>
      </c>
      <c r="C68" s="2" t="s">
        <v>763</v>
      </c>
      <c r="D68" s="2" t="n">
        <v>2025</v>
      </c>
      <c r="E68" s="2" t="s">
        <v>614</v>
      </c>
      <c r="F68" s="4" t="s">
        <v>764</v>
      </c>
      <c r="G68" s="2" t="s">
        <v>677</v>
      </c>
      <c r="H68" s="2" t="s">
        <v>765</v>
      </c>
      <c r="I68" s="2" t="s">
        <v>766</v>
      </c>
      <c r="J68" s="2" t="s">
        <v>767</v>
      </c>
      <c r="K68" s="2" t="s">
        <v>768</v>
      </c>
      <c r="L68" s="2" t="s">
        <v>769</v>
      </c>
      <c r="M68" s="2" t="s">
        <v>417</v>
      </c>
      <c r="N68" s="2" t="s">
        <v>770</v>
      </c>
      <c r="O68" s="2" t="s">
        <v>771</v>
      </c>
    </row>
    <row r="69" customFormat="false" ht="22.35" hidden="false" customHeight="false" outlineLevel="0" collapsed="false">
      <c r="A69" s="5" t="n">
        <v>68</v>
      </c>
      <c r="B69" s="6" t="s">
        <v>772</v>
      </c>
      <c r="C69" s="5" t="s">
        <v>773</v>
      </c>
      <c r="D69" s="5" t="n">
        <v>2025</v>
      </c>
      <c r="E69" s="5" t="s">
        <v>614</v>
      </c>
      <c r="F69" s="7" t="s">
        <v>774</v>
      </c>
      <c r="G69" s="5" t="s">
        <v>677</v>
      </c>
      <c r="H69" s="5" t="s">
        <v>775</v>
      </c>
      <c r="I69" s="5" t="s">
        <v>776</v>
      </c>
      <c r="J69" s="5" t="s">
        <v>777</v>
      </c>
      <c r="K69" s="5" t="s">
        <v>778</v>
      </c>
      <c r="L69" s="5" t="s">
        <v>779</v>
      </c>
      <c r="M69" s="5" t="s">
        <v>780</v>
      </c>
      <c r="N69" s="5" t="s">
        <v>781</v>
      </c>
      <c r="O69" s="5" t="s">
        <v>782</v>
      </c>
    </row>
    <row r="70" customFormat="false" ht="32.8" hidden="false" customHeight="false" outlineLevel="0" collapsed="false">
      <c r="A70" s="2" t="n">
        <v>69</v>
      </c>
      <c r="B70" s="3" t="s">
        <v>783</v>
      </c>
      <c r="C70" s="2" t="s">
        <v>784</v>
      </c>
      <c r="D70" s="2" t="n">
        <v>2026</v>
      </c>
      <c r="E70" s="2" t="s">
        <v>410</v>
      </c>
      <c r="F70" s="4" t="s">
        <v>785</v>
      </c>
      <c r="G70" s="2" t="s">
        <v>677</v>
      </c>
      <c r="H70" s="2" t="s">
        <v>786</v>
      </c>
      <c r="I70" s="2" t="s">
        <v>787</v>
      </c>
      <c r="J70" s="2" t="s">
        <v>788</v>
      </c>
      <c r="K70" s="2" t="s">
        <v>789</v>
      </c>
      <c r="L70" s="2" t="s">
        <v>790</v>
      </c>
      <c r="M70" s="2" t="s">
        <v>417</v>
      </c>
      <c r="N70" s="2" t="s">
        <v>791</v>
      </c>
      <c r="O70" s="2" t="s">
        <v>792</v>
      </c>
    </row>
    <row r="71" customFormat="false" ht="32.8" hidden="false" customHeight="false" outlineLevel="0" collapsed="false">
      <c r="A71" s="5" t="n">
        <v>70</v>
      </c>
      <c r="B71" s="6" t="s">
        <v>793</v>
      </c>
      <c r="C71" s="5" t="s">
        <v>794</v>
      </c>
      <c r="D71" s="5" t="n">
        <v>2026</v>
      </c>
      <c r="E71" s="5" t="s">
        <v>354</v>
      </c>
      <c r="F71" s="7" t="s">
        <v>795</v>
      </c>
      <c r="G71" s="5" t="s">
        <v>677</v>
      </c>
      <c r="H71" s="5" t="s">
        <v>796</v>
      </c>
      <c r="I71" s="5" t="s">
        <v>797</v>
      </c>
      <c r="J71" s="5" t="s">
        <v>798</v>
      </c>
      <c r="K71" s="5" t="s">
        <v>799</v>
      </c>
      <c r="L71" s="5" t="s">
        <v>800</v>
      </c>
      <c r="M71" s="5" t="s">
        <v>417</v>
      </c>
      <c r="N71" s="5" t="s">
        <v>801</v>
      </c>
      <c r="O71" s="5" t="s">
        <v>802</v>
      </c>
    </row>
    <row r="72" customFormat="false" ht="22.35" hidden="false" customHeight="false" outlineLevel="0" collapsed="false">
      <c r="A72" s="2" t="n">
        <v>71</v>
      </c>
      <c r="B72" s="3" t="s">
        <v>803</v>
      </c>
      <c r="C72" s="2" t="s">
        <v>804</v>
      </c>
      <c r="D72" s="2" t="n">
        <v>2026</v>
      </c>
      <c r="E72" s="2" t="s">
        <v>410</v>
      </c>
      <c r="F72" s="4" t="s">
        <v>805</v>
      </c>
      <c r="G72" s="2" t="s">
        <v>677</v>
      </c>
      <c r="H72" s="2" t="s">
        <v>806</v>
      </c>
      <c r="I72" s="2" t="s">
        <v>807</v>
      </c>
      <c r="J72" s="2" t="s">
        <v>808</v>
      </c>
      <c r="K72" s="2" t="s">
        <v>809</v>
      </c>
      <c r="L72" s="2" t="s">
        <v>810</v>
      </c>
      <c r="M72" s="2" t="s">
        <v>417</v>
      </c>
      <c r="N72" s="2" t="s">
        <v>811</v>
      </c>
      <c r="O72" s="2" t="s">
        <v>812</v>
      </c>
    </row>
    <row r="73" customFormat="false" ht="22.35" hidden="false" customHeight="false" outlineLevel="0" collapsed="false">
      <c r="A73" s="5" t="n">
        <v>72</v>
      </c>
      <c r="B73" s="6" t="s">
        <v>813</v>
      </c>
      <c r="C73" s="5" t="s">
        <v>814</v>
      </c>
      <c r="D73" s="5" t="n">
        <v>2024</v>
      </c>
      <c r="E73" s="5" t="s">
        <v>377</v>
      </c>
      <c r="F73" s="7" t="s">
        <v>815</v>
      </c>
      <c r="G73" s="5" t="s">
        <v>677</v>
      </c>
      <c r="H73" s="5" t="s">
        <v>816</v>
      </c>
      <c r="I73" s="5" t="s">
        <v>817</v>
      </c>
      <c r="J73" s="5" t="s">
        <v>818</v>
      </c>
      <c r="K73" s="5" t="s">
        <v>819</v>
      </c>
      <c r="L73" s="5" t="s">
        <v>820</v>
      </c>
      <c r="M73" s="5" t="s">
        <v>821</v>
      </c>
      <c r="N73" s="5" t="s">
        <v>822</v>
      </c>
      <c r="O73" s="5" t="s">
        <v>823</v>
      </c>
    </row>
    <row r="74" customFormat="false" ht="32.8" hidden="false" customHeight="false" outlineLevel="0" collapsed="false">
      <c r="A74" s="2" t="n">
        <v>73</v>
      </c>
      <c r="B74" s="3" t="s">
        <v>824</v>
      </c>
      <c r="C74" s="2" t="s">
        <v>825</v>
      </c>
      <c r="D74" s="2" t="n">
        <v>2024</v>
      </c>
      <c r="E74" s="2" t="s">
        <v>124</v>
      </c>
      <c r="F74" s="4" t="s">
        <v>826</v>
      </c>
      <c r="G74" s="2" t="s">
        <v>827</v>
      </c>
      <c r="H74" s="2" t="s">
        <v>828</v>
      </c>
      <c r="I74" s="2" t="s">
        <v>829</v>
      </c>
      <c r="J74" s="2" t="s">
        <v>830</v>
      </c>
      <c r="K74" s="2" t="s">
        <v>831</v>
      </c>
      <c r="L74" s="2" t="s">
        <v>832</v>
      </c>
      <c r="M74" s="2" t="s">
        <v>833</v>
      </c>
      <c r="N74" s="2" t="s">
        <v>834</v>
      </c>
      <c r="O74" s="2" t="s">
        <v>835</v>
      </c>
    </row>
    <row r="75" customFormat="false" ht="22.35" hidden="false" customHeight="false" outlineLevel="0" collapsed="false">
      <c r="A75" s="5" t="n">
        <v>74</v>
      </c>
      <c r="B75" s="6" t="s">
        <v>836</v>
      </c>
      <c r="C75" s="5" t="s">
        <v>837</v>
      </c>
      <c r="D75" s="5" t="n">
        <v>2022</v>
      </c>
      <c r="E75" s="5" t="s">
        <v>838</v>
      </c>
      <c r="F75" s="7" t="s">
        <v>839</v>
      </c>
      <c r="G75" s="5" t="s">
        <v>827</v>
      </c>
      <c r="H75" s="5" t="s">
        <v>840</v>
      </c>
      <c r="I75" s="5" t="s">
        <v>841</v>
      </c>
      <c r="J75" s="5" t="s">
        <v>842</v>
      </c>
      <c r="K75" s="5" t="s">
        <v>843</v>
      </c>
      <c r="L75" s="5" t="s">
        <v>844</v>
      </c>
      <c r="M75" s="5" t="s">
        <v>845</v>
      </c>
      <c r="N75" s="5" t="s">
        <v>846</v>
      </c>
      <c r="O75" s="5" t="s">
        <v>847</v>
      </c>
    </row>
    <row r="76" customFormat="false" ht="22.35" hidden="false" customHeight="false" outlineLevel="0" collapsed="false">
      <c r="A76" s="2" t="n">
        <v>75</v>
      </c>
      <c r="B76" s="3" t="s">
        <v>848</v>
      </c>
      <c r="C76" s="2" t="s">
        <v>837</v>
      </c>
      <c r="D76" s="2" t="n">
        <v>2022</v>
      </c>
      <c r="E76" s="2" t="s">
        <v>838</v>
      </c>
      <c r="F76" s="4" t="s">
        <v>849</v>
      </c>
      <c r="G76" s="2" t="s">
        <v>827</v>
      </c>
      <c r="H76" s="2" t="s">
        <v>850</v>
      </c>
      <c r="I76" s="2" t="s">
        <v>841</v>
      </c>
      <c r="J76" s="2" t="s">
        <v>851</v>
      </c>
      <c r="K76" s="2" t="s">
        <v>852</v>
      </c>
      <c r="L76" s="2" t="s">
        <v>853</v>
      </c>
      <c r="M76" s="2" t="s">
        <v>845</v>
      </c>
      <c r="N76" s="2" t="s">
        <v>846</v>
      </c>
      <c r="O76" s="2" t="s">
        <v>854</v>
      </c>
    </row>
    <row r="77" customFormat="false" ht="22.35" hidden="false" customHeight="false" outlineLevel="0" collapsed="false">
      <c r="A77" s="5" t="n">
        <v>76</v>
      </c>
      <c r="B77" s="6" t="s">
        <v>855</v>
      </c>
      <c r="C77" s="5" t="s">
        <v>856</v>
      </c>
      <c r="D77" s="5" t="n">
        <v>2023</v>
      </c>
      <c r="E77" s="5" t="s">
        <v>857</v>
      </c>
      <c r="F77" s="7" t="s">
        <v>858</v>
      </c>
      <c r="G77" s="5" t="s">
        <v>827</v>
      </c>
      <c r="H77" s="5" t="s">
        <v>859</v>
      </c>
      <c r="I77" s="5" t="s">
        <v>860</v>
      </c>
      <c r="J77" s="5" t="s">
        <v>861</v>
      </c>
      <c r="K77" s="5" t="s">
        <v>862</v>
      </c>
      <c r="L77" s="5" t="s">
        <v>863</v>
      </c>
      <c r="M77" s="5" t="s">
        <v>864</v>
      </c>
      <c r="N77" s="5" t="s">
        <v>865</v>
      </c>
      <c r="O77" s="5" t="s">
        <v>866</v>
      </c>
    </row>
    <row r="78" customFormat="false" ht="43.25" hidden="false" customHeight="false" outlineLevel="0" collapsed="false">
      <c r="A78" s="2" t="n">
        <v>77</v>
      </c>
      <c r="B78" s="3" t="s">
        <v>867</v>
      </c>
      <c r="C78" s="2" t="s">
        <v>868</v>
      </c>
      <c r="D78" s="2" t="n">
        <v>2025</v>
      </c>
      <c r="E78" s="2" t="s">
        <v>614</v>
      </c>
      <c r="F78" s="4" t="s">
        <v>869</v>
      </c>
      <c r="G78" s="2" t="s">
        <v>827</v>
      </c>
      <c r="H78" s="2" t="s">
        <v>870</v>
      </c>
      <c r="I78" s="2" t="s">
        <v>871</v>
      </c>
      <c r="J78" s="2" t="s">
        <v>872</v>
      </c>
      <c r="K78" s="2" t="s">
        <v>873</v>
      </c>
      <c r="L78" s="2" t="s">
        <v>874</v>
      </c>
      <c r="M78" s="2" t="s">
        <v>417</v>
      </c>
      <c r="N78" s="2" t="s">
        <v>875</v>
      </c>
      <c r="O78" s="2" t="s">
        <v>876</v>
      </c>
    </row>
    <row r="79" customFormat="false" ht="32.8" hidden="false" customHeight="false" outlineLevel="0" collapsed="false">
      <c r="A79" s="5" t="n">
        <v>78</v>
      </c>
      <c r="B79" s="6" t="s">
        <v>877</v>
      </c>
      <c r="C79" s="5" t="s">
        <v>878</v>
      </c>
      <c r="D79" s="5" t="n">
        <v>2023</v>
      </c>
      <c r="E79" s="5" t="s">
        <v>879</v>
      </c>
      <c r="F79" s="7" t="s">
        <v>880</v>
      </c>
      <c r="G79" s="5" t="s">
        <v>193</v>
      </c>
      <c r="H79" s="5" t="s">
        <v>881</v>
      </c>
      <c r="I79" s="5" t="s">
        <v>882</v>
      </c>
      <c r="J79" s="5" t="s">
        <v>883</v>
      </c>
      <c r="K79" s="5" t="s">
        <v>884</v>
      </c>
      <c r="L79" s="5" t="s">
        <v>885</v>
      </c>
      <c r="M79" s="5" t="s">
        <v>486</v>
      </c>
      <c r="N79" s="5" t="s">
        <v>886</v>
      </c>
      <c r="O79" s="5" t="s">
        <v>887</v>
      </c>
    </row>
    <row r="80" customFormat="false" ht="22.35" hidden="false" customHeight="false" outlineLevel="0" collapsed="false">
      <c r="A80" s="2" t="n">
        <v>79</v>
      </c>
      <c r="B80" s="3" t="s">
        <v>888</v>
      </c>
      <c r="C80" s="2" t="s">
        <v>889</v>
      </c>
      <c r="D80" s="2" t="n">
        <v>2024</v>
      </c>
      <c r="E80" s="2" t="s">
        <v>890</v>
      </c>
      <c r="F80" s="4" t="s">
        <v>891</v>
      </c>
      <c r="G80" s="2" t="s">
        <v>193</v>
      </c>
      <c r="H80" s="2" t="s">
        <v>881</v>
      </c>
      <c r="I80" s="2" t="s">
        <v>892</v>
      </c>
      <c r="J80" s="2" t="s">
        <v>893</v>
      </c>
      <c r="K80" s="2" t="s">
        <v>894</v>
      </c>
      <c r="L80" s="2" t="s">
        <v>895</v>
      </c>
      <c r="M80" s="2" t="s">
        <v>896</v>
      </c>
      <c r="N80" s="2" t="s">
        <v>897</v>
      </c>
      <c r="O80" s="2" t="s">
        <v>898</v>
      </c>
    </row>
    <row r="81" customFormat="false" ht="32.8" hidden="false" customHeight="false" outlineLevel="0" collapsed="false">
      <c r="A81" s="5" t="n">
        <v>80</v>
      </c>
      <c r="B81" s="6" t="s">
        <v>899</v>
      </c>
      <c r="C81" s="5" t="s">
        <v>900</v>
      </c>
      <c r="D81" s="5" t="n">
        <v>2023</v>
      </c>
      <c r="E81" s="5" t="s">
        <v>879</v>
      </c>
      <c r="F81" s="7" t="s">
        <v>901</v>
      </c>
      <c r="G81" s="5" t="s">
        <v>193</v>
      </c>
      <c r="H81" s="5" t="s">
        <v>902</v>
      </c>
      <c r="I81" s="5" t="s">
        <v>903</v>
      </c>
      <c r="J81" s="5" t="s">
        <v>904</v>
      </c>
      <c r="K81" s="5" t="s">
        <v>905</v>
      </c>
      <c r="L81" s="5" t="s">
        <v>906</v>
      </c>
      <c r="M81" s="5" t="s">
        <v>907</v>
      </c>
      <c r="N81" s="5" t="s">
        <v>908</v>
      </c>
      <c r="O81" s="5" t="s">
        <v>909</v>
      </c>
    </row>
    <row r="82" customFormat="false" ht="32.8" hidden="false" customHeight="false" outlineLevel="0" collapsed="false">
      <c r="A82" s="2" t="n">
        <v>81</v>
      </c>
      <c r="B82" s="3" t="s">
        <v>910</v>
      </c>
      <c r="C82" s="2" t="s">
        <v>911</v>
      </c>
      <c r="D82" s="2" t="n">
        <v>2023</v>
      </c>
      <c r="E82" s="2" t="s">
        <v>912</v>
      </c>
      <c r="F82" s="4" t="s">
        <v>913</v>
      </c>
      <c r="G82" s="2" t="s">
        <v>193</v>
      </c>
      <c r="H82" s="2" t="s">
        <v>881</v>
      </c>
      <c r="I82" s="2" t="s">
        <v>914</v>
      </c>
      <c r="J82" s="2" t="s">
        <v>915</v>
      </c>
      <c r="K82" s="2" t="s">
        <v>916</v>
      </c>
      <c r="L82" s="2" t="s">
        <v>917</v>
      </c>
      <c r="M82" s="2" t="s">
        <v>417</v>
      </c>
      <c r="N82" s="2" t="s">
        <v>918</v>
      </c>
      <c r="O82" s="2" t="s">
        <v>919</v>
      </c>
    </row>
    <row r="83" customFormat="false" ht="32.8" hidden="false" customHeight="false" outlineLevel="0" collapsed="false">
      <c r="A83" s="5" t="n">
        <v>82</v>
      </c>
      <c r="B83" s="6" t="s">
        <v>920</v>
      </c>
      <c r="C83" s="5" t="s">
        <v>921</v>
      </c>
      <c r="D83" s="5" t="n">
        <v>2025</v>
      </c>
      <c r="E83" s="5" t="s">
        <v>922</v>
      </c>
      <c r="F83" s="7" t="s">
        <v>923</v>
      </c>
      <c r="G83" s="5" t="s">
        <v>193</v>
      </c>
      <c r="H83" s="5" t="s">
        <v>924</v>
      </c>
      <c r="I83" s="5" t="s">
        <v>925</v>
      </c>
      <c r="J83" s="5" t="s">
        <v>926</v>
      </c>
      <c r="K83" s="5" t="s">
        <v>927</v>
      </c>
      <c r="L83" s="5" t="s">
        <v>928</v>
      </c>
      <c r="M83" s="5" t="s">
        <v>417</v>
      </c>
      <c r="N83" s="5" t="s">
        <v>706</v>
      </c>
      <c r="O83" s="5" t="s">
        <v>929</v>
      </c>
    </row>
    <row r="84" customFormat="false" ht="32.8" hidden="false" customHeight="false" outlineLevel="0" collapsed="false">
      <c r="A84" s="2" t="n">
        <v>83</v>
      </c>
      <c r="B84" s="3" t="s">
        <v>930</v>
      </c>
      <c r="C84" s="2" t="s">
        <v>931</v>
      </c>
      <c r="D84" s="2" t="n">
        <v>2025</v>
      </c>
      <c r="E84" s="2" t="s">
        <v>614</v>
      </c>
      <c r="F84" s="4" t="s">
        <v>932</v>
      </c>
      <c r="G84" s="2" t="s">
        <v>193</v>
      </c>
      <c r="H84" s="2" t="s">
        <v>881</v>
      </c>
      <c r="I84" s="2" t="s">
        <v>933</v>
      </c>
      <c r="J84" s="2" t="s">
        <v>934</v>
      </c>
      <c r="K84" s="2" t="s">
        <v>935</v>
      </c>
      <c r="L84" s="2" t="s">
        <v>936</v>
      </c>
      <c r="M84" s="2" t="s">
        <v>937</v>
      </c>
      <c r="N84" s="2" t="s">
        <v>938</v>
      </c>
      <c r="O84" s="2" t="s">
        <v>939</v>
      </c>
    </row>
    <row r="85" customFormat="false" ht="32.8" hidden="false" customHeight="false" outlineLevel="0" collapsed="false">
      <c r="A85" s="5" t="n">
        <v>84</v>
      </c>
      <c r="B85" s="6" t="s">
        <v>940</v>
      </c>
      <c r="C85" s="5" t="s">
        <v>941</v>
      </c>
      <c r="D85" s="5" t="n">
        <v>2025</v>
      </c>
      <c r="E85" s="5" t="s">
        <v>942</v>
      </c>
      <c r="F85" s="7" t="s">
        <v>943</v>
      </c>
      <c r="G85" s="5" t="s">
        <v>193</v>
      </c>
      <c r="H85" s="5" t="s">
        <v>944</v>
      </c>
      <c r="I85" s="5" t="s">
        <v>945</v>
      </c>
      <c r="J85" s="5" t="s">
        <v>946</v>
      </c>
      <c r="K85" s="5" t="s">
        <v>947</v>
      </c>
      <c r="L85" s="5" t="s">
        <v>948</v>
      </c>
      <c r="M85" s="5" t="s">
        <v>949</v>
      </c>
      <c r="N85" s="5" t="s">
        <v>950</v>
      </c>
      <c r="O85" s="5" t="s">
        <v>951</v>
      </c>
    </row>
    <row r="86" customFormat="false" ht="32.8" hidden="false" customHeight="false" outlineLevel="0" collapsed="false">
      <c r="A86" s="2" t="n">
        <v>85</v>
      </c>
      <c r="B86" s="3" t="s">
        <v>952</v>
      </c>
      <c r="C86" s="2" t="s">
        <v>953</v>
      </c>
      <c r="D86" s="2" t="n">
        <v>2024</v>
      </c>
      <c r="E86" s="2" t="s">
        <v>954</v>
      </c>
      <c r="F86" s="4" t="s">
        <v>955</v>
      </c>
      <c r="G86" s="2" t="s">
        <v>193</v>
      </c>
      <c r="H86" s="2" t="s">
        <v>956</v>
      </c>
      <c r="I86" s="2" t="s">
        <v>957</v>
      </c>
      <c r="J86" s="2" t="s">
        <v>958</v>
      </c>
      <c r="K86" s="2" t="s">
        <v>959</v>
      </c>
      <c r="L86" s="2" t="s">
        <v>960</v>
      </c>
      <c r="M86" s="2" t="s">
        <v>417</v>
      </c>
      <c r="N86" s="2" t="s">
        <v>961</v>
      </c>
      <c r="O86" s="2" t="s">
        <v>962</v>
      </c>
    </row>
    <row r="87" customFormat="false" ht="22.35" hidden="false" customHeight="false" outlineLevel="0" collapsed="false">
      <c r="A87" s="5" t="n">
        <v>86</v>
      </c>
      <c r="B87" s="6" t="s">
        <v>963</v>
      </c>
      <c r="C87" s="5" t="s">
        <v>964</v>
      </c>
      <c r="D87" s="5" t="n">
        <v>2024</v>
      </c>
      <c r="E87" s="5" t="s">
        <v>204</v>
      </c>
      <c r="F87" s="7" t="s">
        <v>965</v>
      </c>
      <c r="G87" s="5" t="s">
        <v>193</v>
      </c>
      <c r="H87" s="5" t="s">
        <v>881</v>
      </c>
      <c r="I87" s="5" t="s">
        <v>966</v>
      </c>
      <c r="J87" s="5" t="s">
        <v>967</v>
      </c>
      <c r="K87" s="5" t="s">
        <v>968</v>
      </c>
      <c r="L87" s="5" t="s">
        <v>969</v>
      </c>
      <c r="M87" s="5" t="s">
        <v>417</v>
      </c>
      <c r="N87" s="5" t="s">
        <v>970</v>
      </c>
      <c r="O87" s="5" t="s">
        <v>971</v>
      </c>
    </row>
    <row r="88" customFormat="false" ht="22.35" hidden="false" customHeight="false" outlineLevel="0" collapsed="false">
      <c r="A88" s="2" t="n">
        <v>87</v>
      </c>
      <c r="B88" s="3" t="s">
        <v>972</v>
      </c>
      <c r="C88" s="2" t="s">
        <v>973</v>
      </c>
      <c r="D88" s="2" t="n">
        <v>2024</v>
      </c>
      <c r="E88" s="2" t="s">
        <v>204</v>
      </c>
      <c r="F88" s="4" t="s">
        <v>974</v>
      </c>
      <c r="G88" s="2" t="s">
        <v>193</v>
      </c>
      <c r="H88" s="2" t="s">
        <v>975</v>
      </c>
      <c r="I88" s="2" t="s">
        <v>976</v>
      </c>
      <c r="J88" s="2" t="s">
        <v>977</v>
      </c>
      <c r="K88" s="2" t="s">
        <v>978</v>
      </c>
      <c r="L88" s="2" t="s">
        <v>979</v>
      </c>
      <c r="M88" s="2" t="s">
        <v>417</v>
      </c>
      <c r="N88" s="2" t="s">
        <v>980</v>
      </c>
      <c r="O88" s="2" t="s">
        <v>981</v>
      </c>
    </row>
    <row r="89" customFormat="false" ht="22.35" hidden="false" customHeight="false" outlineLevel="0" collapsed="false">
      <c r="A89" s="5" t="n">
        <v>88</v>
      </c>
      <c r="B89" s="6" t="s">
        <v>982</v>
      </c>
      <c r="C89" s="5" t="s">
        <v>983</v>
      </c>
      <c r="D89" s="5" t="n">
        <v>2023</v>
      </c>
      <c r="E89" s="5" t="s">
        <v>984</v>
      </c>
      <c r="F89" s="7" t="s">
        <v>985</v>
      </c>
      <c r="G89" s="5" t="s">
        <v>193</v>
      </c>
      <c r="H89" s="5" t="s">
        <v>986</v>
      </c>
      <c r="I89" s="5" t="s">
        <v>987</v>
      </c>
      <c r="J89" s="5" t="s">
        <v>988</v>
      </c>
      <c r="K89" s="5" t="s">
        <v>989</v>
      </c>
      <c r="L89" s="5" t="s">
        <v>990</v>
      </c>
      <c r="M89" s="5" t="s">
        <v>417</v>
      </c>
      <c r="N89" s="5" t="s">
        <v>991</v>
      </c>
      <c r="O89" s="5" t="s">
        <v>992</v>
      </c>
    </row>
    <row r="90" customFormat="false" ht="22.35" hidden="false" customHeight="false" outlineLevel="0" collapsed="false">
      <c r="A90" s="2" t="n">
        <v>89</v>
      </c>
      <c r="B90" s="3" t="s">
        <v>993</v>
      </c>
      <c r="C90" s="2" t="s">
        <v>994</v>
      </c>
      <c r="D90" s="2" t="n">
        <v>2024</v>
      </c>
      <c r="E90" s="2" t="s">
        <v>995</v>
      </c>
      <c r="F90" s="4" t="s">
        <v>996</v>
      </c>
      <c r="G90" s="2" t="s">
        <v>19</v>
      </c>
      <c r="H90" s="2" t="s">
        <v>997</v>
      </c>
      <c r="I90" s="2" t="s">
        <v>998</v>
      </c>
      <c r="J90" s="2" t="s">
        <v>999</v>
      </c>
      <c r="K90" s="2" t="s">
        <v>1000</v>
      </c>
      <c r="L90" s="2" t="s">
        <v>1001</v>
      </c>
      <c r="M90" s="2" t="s">
        <v>417</v>
      </c>
      <c r="N90" s="2" t="s">
        <v>1002</v>
      </c>
      <c r="O90" s="2" t="s">
        <v>1003</v>
      </c>
    </row>
    <row r="91" customFormat="false" ht="32.8" hidden="false" customHeight="false" outlineLevel="0" collapsed="false">
      <c r="A91" s="5" t="n">
        <v>90</v>
      </c>
      <c r="B91" s="6" t="s">
        <v>1004</v>
      </c>
      <c r="C91" s="5" t="s">
        <v>1005</v>
      </c>
      <c r="D91" s="5" t="n">
        <v>2025</v>
      </c>
      <c r="E91" s="5" t="s">
        <v>614</v>
      </c>
      <c r="F91" s="7" t="s">
        <v>1006</v>
      </c>
      <c r="G91" s="5" t="s">
        <v>1007</v>
      </c>
      <c r="H91" s="5" t="s">
        <v>1008</v>
      </c>
      <c r="I91" s="5" t="s">
        <v>1009</v>
      </c>
      <c r="J91" s="5" t="s">
        <v>1010</v>
      </c>
      <c r="K91" s="5" t="s">
        <v>1011</v>
      </c>
      <c r="L91" s="5" t="s">
        <v>1012</v>
      </c>
      <c r="M91" s="5" t="s">
        <v>1013</v>
      </c>
      <c r="N91" s="5" t="s">
        <v>1014</v>
      </c>
      <c r="O91" s="5" t="s">
        <v>1015</v>
      </c>
    </row>
    <row r="92" customFormat="false" ht="22.35" hidden="false" customHeight="false" outlineLevel="0" collapsed="false">
      <c r="A92" s="2" t="n">
        <v>91</v>
      </c>
      <c r="B92" s="3" t="s">
        <v>1016</v>
      </c>
      <c r="C92" s="2" t="s">
        <v>1017</v>
      </c>
      <c r="D92" s="2" t="n">
        <v>2020</v>
      </c>
      <c r="E92" s="2" t="s">
        <v>1018</v>
      </c>
      <c r="F92" s="4" t="s">
        <v>1019</v>
      </c>
      <c r="G92" s="2" t="s">
        <v>1007</v>
      </c>
      <c r="H92" s="2" t="s">
        <v>1020</v>
      </c>
      <c r="I92" s="2" t="s">
        <v>1021</v>
      </c>
      <c r="J92" s="2" t="s">
        <v>1022</v>
      </c>
      <c r="K92" s="2" t="s">
        <v>1023</v>
      </c>
      <c r="L92" s="2" t="s">
        <v>1024</v>
      </c>
      <c r="M92" s="2" t="s">
        <v>1013</v>
      </c>
      <c r="N92" s="2" t="s">
        <v>1025</v>
      </c>
      <c r="O92" s="2" t="s">
        <v>1026</v>
      </c>
    </row>
    <row r="93" customFormat="false" ht="32.8" hidden="false" customHeight="false" outlineLevel="0" collapsed="false">
      <c r="A93" s="5" t="n">
        <v>92</v>
      </c>
      <c r="B93" s="6" t="s">
        <v>1027</v>
      </c>
      <c r="C93" s="5" t="s">
        <v>1028</v>
      </c>
      <c r="D93" s="5" t="n">
        <v>2023</v>
      </c>
      <c r="E93" s="5" t="s">
        <v>112</v>
      </c>
      <c r="F93" s="7" t="s">
        <v>1029</v>
      </c>
      <c r="G93" s="5" t="s">
        <v>1007</v>
      </c>
      <c r="H93" s="5" t="s">
        <v>1020</v>
      </c>
      <c r="I93" s="5" t="s">
        <v>1030</v>
      </c>
      <c r="J93" s="5" t="s">
        <v>1031</v>
      </c>
      <c r="K93" s="5" t="s">
        <v>1032</v>
      </c>
      <c r="L93" s="5" t="s">
        <v>1033</v>
      </c>
      <c r="M93" s="5" t="s">
        <v>1034</v>
      </c>
      <c r="N93" s="5" t="s">
        <v>1035</v>
      </c>
      <c r="O93" s="5" t="s">
        <v>1036</v>
      </c>
    </row>
    <row r="94" customFormat="false" ht="32.8" hidden="false" customHeight="false" outlineLevel="0" collapsed="false">
      <c r="A94" s="2" t="n">
        <v>93</v>
      </c>
      <c r="B94" s="3" t="s">
        <v>1037</v>
      </c>
      <c r="C94" s="2" t="s">
        <v>1038</v>
      </c>
      <c r="D94" s="2" t="n">
        <v>2024</v>
      </c>
      <c r="E94" s="2" t="s">
        <v>1039</v>
      </c>
      <c r="F94" s="4" t="s">
        <v>1040</v>
      </c>
      <c r="G94" s="2" t="s">
        <v>1007</v>
      </c>
      <c r="H94" s="2" t="s">
        <v>1041</v>
      </c>
      <c r="I94" s="2" t="s">
        <v>1042</v>
      </c>
      <c r="J94" s="2" t="s">
        <v>1043</v>
      </c>
      <c r="K94" s="2" t="s">
        <v>1044</v>
      </c>
      <c r="L94" s="2" t="s">
        <v>1045</v>
      </c>
      <c r="M94" s="2" t="s">
        <v>1046</v>
      </c>
      <c r="N94" s="2" t="s">
        <v>1047</v>
      </c>
      <c r="O94" s="2" t="s">
        <v>1048</v>
      </c>
    </row>
    <row r="95" customFormat="false" ht="32.8" hidden="false" customHeight="false" outlineLevel="0" collapsed="false">
      <c r="A95" s="5" t="n">
        <v>94</v>
      </c>
      <c r="B95" s="6" t="s">
        <v>1049</v>
      </c>
      <c r="C95" s="5" t="s">
        <v>1050</v>
      </c>
      <c r="D95" s="5" t="n">
        <v>2024</v>
      </c>
      <c r="E95" s="5" t="s">
        <v>1051</v>
      </c>
      <c r="F95" s="7" t="s">
        <v>1052</v>
      </c>
      <c r="G95" s="5" t="s">
        <v>1007</v>
      </c>
      <c r="H95" s="5" t="s">
        <v>1020</v>
      </c>
      <c r="I95" s="5" t="s">
        <v>1053</v>
      </c>
      <c r="J95" s="5" t="s">
        <v>1054</v>
      </c>
      <c r="K95" s="5" t="s">
        <v>1055</v>
      </c>
      <c r="L95" s="5" t="s">
        <v>1056</v>
      </c>
      <c r="M95" s="5" t="s">
        <v>1057</v>
      </c>
      <c r="N95" s="5" t="s">
        <v>1058</v>
      </c>
      <c r="O95" s="5" t="s">
        <v>1059</v>
      </c>
    </row>
    <row r="96" customFormat="false" ht="32.8" hidden="false" customHeight="false" outlineLevel="0" collapsed="false">
      <c r="A96" s="2" t="n">
        <v>95</v>
      </c>
      <c r="B96" s="3" t="s">
        <v>1060</v>
      </c>
      <c r="C96" s="2" t="s">
        <v>1061</v>
      </c>
      <c r="D96" s="2" t="n">
        <v>2024</v>
      </c>
      <c r="E96" s="2" t="s">
        <v>204</v>
      </c>
      <c r="F96" s="4" t="s">
        <v>1062</v>
      </c>
      <c r="G96" s="2" t="s">
        <v>1007</v>
      </c>
      <c r="H96" s="2" t="s">
        <v>1020</v>
      </c>
      <c r="I96" s="2" t="s">
        <v>1063</v>
      </c>
      <c r="J96" s="2" t="s">
        <v>1064</v>
      </c>
      <c r="K96" s="2" t="s">
        <v>1065</v>
      </c>
      <c r="L96" s="2" t="s">
        <v>1066</v>
      </c>
      <c r="M96" s="2" t="s">
        <v>1034</v>
      </c>
      <c r="N96" s="2" t="s">
        <v>1067</v>
      </c>
      <c r="O96" s="2" t="s">
        <v>1068</v>
      </c>
    </row>
    <row r="97" customFormat="false" ht="32.8" hidden="false" customHeight="false" outlineLevel="0" collapsed="false">
      <c r="A97" s="5" t="n">
        <v>96</v>
      </c>
      <c r="B97" s="6" t="s">
        <v>1069</v>
      </c>
      <c r="C97" s="5" t="s">
        <v>1070</v>
      </c>
      <c r="D97" s="5" t="n">
        <v>2026</v>
      </c>
      <c r="E97" s="5" t="s">
        <v>410</v>
      </c>
      <c r="F97" s="7" t="s">
        <v>1071</v>
      </c>
      <c r="G97" s="5" t="s">
        <v>1007</v>
      </c>
      <c r="H97" s="5" t="s">
        <v>1020</v>
      </c>
      <c r="I97" s="5" t="s">
        <v>1072</v>
      </c>
      <c r="J97" s="5" t="s">
        <v>1073</v>
      </c>
      <c r="K97" s="5" t="s">
        <v>1074</v>
      </c>
      <c r="L97" s="5" t="s">
        <v>1075</v>
      </c>
      <c r="M97" s="5" t="s">
        <v>417</v>
      </c>
      <c r="N97" s="5" t="s">
        <v>642</v>
      </c>
      <c r="O97" s="5" t="s">
        <v>1076</v>
      </c>
    </row>
    <row r="98" customFormat="false" ht="22.35" hidden="false" customHeight="false" outlineLevel="0" collapsed="false">
      <c r="A98" s="2" t="n">
        <v>97</v>
      </c>
      <c r="B98" s="3" t="s">
        <v>1077</v>
      </c>
      <c r="C98" s="2" t="s">
        <v>1078</v>
      </c>
      <c r="D98" s="2" t="n">
        <v>2018</v>
      </c>
      <c r="E98" s="2" t="s">
        <v>1079</v>
      </c>
      <c r="F98" s="4" t="s">
        <v>1080</v>
      </c>
      <c r="G98" s="2" t="s">
        <v>1007</v>
      </c>
      <c r="H98" s="2" t="s">
        <v>1081</v>
      </c>
      <c r="I98" s="2" t="s">
        <v>1082</v>
      </c>
      <c r="J98" s="2" t="s">
        <v>1083</v>
      </c>
      <c r="K98" s="2" t="s">
        <v>1084</v>
      </c>
      <c r="L98" s="2" t="s">
        <v>1085</v>
      </c>
      <c r="M98" s="2" t="s">
        <v>417</v>
      </c>
      <c r="N98" s="2" t="s">
        <v>1086</v>
      </c>
      <c r="O98" s="2" t="s">
        <v>1087</v>
      </c>
    </row>
    <row r="99" customFormat="false" ht="22.35" hidden="false" customHeight="false" outlineLevel="0" collapsed="false">
      <c r="A99" s="5" t="n">
        <v>98</v>
      </c>
      <c r="B99" s="6" t="s">
        <v>1088</v>
      </c>
      <c r="C99" s="5" t="s">
        <v>1089</v>
      </c>
      <c r="D99" s="5" t="n">
        <v>2019</v>
      </c>
      <c r="E99" s="5" t="s">
        <v>1090</v>
      </c>
      <c r="F99" s="7" t="s">
        <v>1091</v>
      </c>
      <c r="G99" s="5" t="s">
        <v>1007</v>
      </c>
      <c r="H99" s="5" t="s">
        <v>1081</v>
      </c>
      <c r="I99" s="5" t="s">
        <v>1082</v>
      </c>
      <c r="J99" s="5" t="s">
        <v>1092</v>
      </c>
      <c r="K99" s="5" t="s">
        <v>1093</v>
      </c>
      <c r="L99" s="5" t="s">
        <v>1094</v>
      </c>
      <c r="M99" s="5" t="s">
        <v>417</v>
      </c>
      <c r="N99" s="5" t="s">
        <v>1095</v>
      </c>
      <c r="O99" s="5" t="s">
        <v>1096</v>
      </c>
    </row>
    <row r="100" customFormat="false" ht="22.35" hidden="false" customHeight="false" outlineLevel="0" collapsed="false">
      <c r="A100" s="2" t="n">
        <v>99</v>
      </c>
      <c r="B100" s="3" t="s">
        <v>1097</v>
      </c>
      <c r="C100" s="2" t="s">
        <v>1098</v>
      </c>
      <c r="D100" s="2" t="n">
        <v>2023</v>
      </c>
      <c r="E100" s="2" t="s">
        <v>1099</v>
      </c>
      <c r="F100" s="4" t="s">
        <v>1100</v>
      </c>
      <c r="G100" s="2" t="s">
        <v>1101</v>
      </c>
      <c r="H100" s="2" t="s">
        <v>1102</v>
      </c>
      <c r="I100" s="2" t="s">
        <v>1103</v>
      </c>
      <c r="J100" s="2" t="s">
        <v>1104</v>
      </c>
      <c r="K100" s="2" t="s">
        <v>1105</v>
      </c>
      <c r="L100" s="2" t="s">
        <v>1106</v>
      </c>
      <c r="M100" s="2" t="s">
        <v>417</v>
      </c>
      <c r="N100" s="2" t="s">
        <v>1107</v>
      </c>
      <c r="O100" s="2" t="s">
        <v>1108</v>
      </c>
    </row>
    <row r="101" customFormat="false" ht="22.35" hidden="false" customHeight="false" outlineLevel="0" collapsed="false">
      <c r="A101" s="5" t="n">
        <v>100</v>
      </c>
      <c r="B101" s="6" t="s">
        <v>1109</v>
      </c>
      <c r="C101" s="5" t="s">
        <v>1110</v>
      </c>
      <c r="D101" s="5" t="n">
        <v>2023</v>
      </c>
      <c r="E101" s="5" t="s">
        <v>286</v>
      </c>
      <c r="F101" s="7" t="s">
        <v>1111</v>
      </c>
      <c r="G101" s="5" t="s">
        <v>1101</v>
      </c>
      <c r="H101" s="5" t="s">
        <v>1102</v>
      </c>
      <c r="I101" s="5" t="s">
        <v>1112</v>
      </c>
      <c r="J101" s="5" t="s">
        <v>1113</v>
      </c>
      <c r="K101" s="5" t="s">
        <v>1114</v>
      </c>
      <c r="L101" s="5" t="s">
        <v>1115</v>
      </c>
      <c r="M101" s="5" t="s">
        <v>417</v>
      </c>
      <c r="N101" s="5" t="s">
        <v>1116</v>
      </c>
      <c r="O101" s="5" t="s">
        <v>1117</v>
      </c>
    </row>
  </sheetData>
  <autoFilter ref="A1:O101"/>
  <hyperlinks>
    <hyperlink ref="F2" r:id="rId1" display="https://arxiv.org/abs/1912.11035"/>
    <hyperlink ref="F3" r:id="rId2" display="https://arxiv.org/abs/2003.08685"/>
    <hyperlink ref="F4" r:id="rId3" display="https://arxiv.org/abs/2003.01826"/>
    <hyperlink ref="F5" r:id="rId4" display="https://arxiv.org/abs/1907.06515"/>
    <hyperlink ref="F6" r:id="rId5" display="https://arxiv.org/abs/1812.11842"/>
    <hyperlink ref="F7" r:id="rId6" display="https://arxiv.org/abs/2008.10588"/>
    <hyperlink ref="F8" r:id="rId7" display="https://arxiv.org/abs/2104.02617"/>
    <hyperlink ref="F9" r:id="rId8" display="https://scholar.google.com/scholar?q=Detecting+Generated+Images+by+Real+Images+ECCV+2022"/>
    <hyperlink ref="F10" r:id="rId9" display="https://scholar.google.com/scholar?q=Learning+on+Gradients+Generalized+Artifacts+Representation+GAN-Generated+Images+Detection"/>
    <hyperlink ref="F11" r:id="rId10" display="https://arxiv.org/abs/2312.10461"/>
    <hyperlink ref="F12" r:id="rId11" display="https://arxiv.org/abs/2403.07240"/>
    <hyperlink ref="F13" r:id="rId12" display="https://arxiv.org/abs/2311.12397"/>
    <hyperlink ref="F14" r:id="rId13" display="https://arxiv.org/abs/2211.00680"/>
    <hyperlink ref="F15" r:id="rId14" display="https://arxiv.org/abs/2304.06408"/>
    <hyperlink ref="F16" r:id="rId15" display="https://arxiv.org/abs/2210.14571"/>
    <hyperlink ref="F17" r:id="rId16" display="https://arxiv.org/abs/2403.17608"/>
    <hyperlink ref="F18" r:id="rId17" display="https://arxiv.org/abs/2402.01123"/>
    <hyperlink ref="F19" r:id="rId18" display="https://arxiv.org/abs/2408.06741"/>
    <hyperlink ref="F20" r:id="rId19" display="https://arxiv.org/abs/2411.19417"/>
    <hyperlink ref="F21" r:id="rId20" display="https://arxiv.org/abs/2406.19435"/>
    <hyperlink ref="F22" r:id="rId21" display="https://scholar.google.com/scholar?q=Breaking+Semantic+Artifacts+for+Generalized+AI-generated+Image+Detection"/>
    <hyperlink ref="F23" r:id="rId22" display="https://arxiv.org/abs/2410.11835"/>
    <hyperlink ref="F24" r:id="rId23" display="https://scholar.google.com/scholar?q=Stay-Positive+A+Case+for+Ignoring+Real+Image+Features+in+Fake+Image+Detection"/>
    <hyperlink ref="F25" r:id="rId24" display="https://arxiv.org/abs/2303.09295"/>
    <hyperlink ref="F26" r:id="rId25" display="https://arxiv.org/abs/2401.17879"/>
    <hyperlink ref="F27" r:id="rId26" display="https://arxiv.org/abs/2403.17465"/>
    <hyperlink ref="F28" r:id="rId27" display="https://arxiv.org/abs/2406.08603"/>
    <hyperlink ref="F29" r:id="rId28" display="https://scholar.google.com/scholar?q=DRCT+Diffusion+Reconstruction+Contrastive+Training+towards+Universal+Detection+of+Diffusion+Generated+Images"/>
    <hyperlink ref="F30" r:id="rId29" display="https://arxiv.org/abs/2412.07140"/>
    <hyperlink ref="F31" r:id="rId30" display="https://openaccess.thecvf.com/content/CVPR2026/html/Qi_A_Difference-in-Difference_Approach_to_Detecting_AI-Generated_Images_CVPR_2026_paper.html"/>
    <hyperlink ref="F32" r:id="rId31" display="https://cvpr.thecvf.com/virtual/2026/poster/39565"/>
    <hyperlink ref="F33" r:id="rId32" display="https://arxiv.org/abs/2409.15875"/>
    <hyperlink ref="F34" r:id="rId33" display="https://arxiv.org/abs/2405.20112"/>
    <hyperlink ref="F35" r:id="rId34" display="https://scholar.google.com/scholar?q=Manifold+Induced+Biases+for+Zero-shot+and+Few-shot+Detection+of+Generated+Images"/>
    <hyperlink ref="F36" r:id="rId35" display="https://arxiv.org/abs/2603.21619"/>
    <hyperlink ref="F37" r:id="rId36" display="https://scholar.google.com/scholar?q=Forensic+Self-Descriptions+Are+All+You+Need+Zero-Shot+Detection+Open-Set+Source+Attribution"/>
    <hyperlink ref="F38" r:id="rId37" display="https://arxiv.org/abs/2302.10174"/>
    <hyperlink ref="F39" r:id="rId38" display="https://arxiv.org/abs/2312.00195"/>
    <hyperlink ref="F40" r:id="rId39" display="https://arxiv.org/abs/2210.06998"/>
    <hyperlink ref="F41" r:id="rId40" display="https://arxiv.org/abs/2305.13800"/>
    <hyperlink ref="F42" r:id="rId41" display="https://arxiv.org/abs/2312.16649"/>
    <hyperlink ref="F43" r:id="rId42" display="https://arxiv.org/abs/2402.12927"/>
    <hyperlink ref="F44" r:id="rId43" display="https://arxiv.org/abs/2402.19091"/>
    <hyperlink ref="F45" r:id="rId44" display="https://arxiv.org/abs/2310.17419"/>
    <hyperlink ref="F46" r:id="rId45" display="https://arxiv.org/abs/2408.09647"/>
    <hyperlink ref="F47" r:id="rId46" display="https://arxiv.org/abs/2411.15633"/>
    <hyperlink ref="F48" r:id="rId47" display="https://arxiv.org/abs/2503.18286"/>
    <hyperlink ref="F49" r:id="rId48" display="https://arxiv.org/abs/2412.17671"/>
    <hyperlink ref="F50" r:id="rId49" display="https://arxiv.org/abs/2505.14359"/>
    <hyperlink ref="F51" r:id="rId50" display="https://arxiv.org/abs/2411.04125"/>
    <hyperlink ref="F52" r:id="rId51" display="https://arxiv.org/abs/2501.08763"/>
    <hyperlink ref="F53" r:id="rId52" display="https://arxiv.org/abs/2508.01603"/>
    <hyperlink ref="F54" r:id="rId53" display="https://arxiv.org/abs/2511.22471"/>
    <hyperlink ref="F55" r:id="rId54" display="https://arxiv.org/abs/2608.04935"/>
    <hyperlink ref="F56" r:id="rId55" display="https://arxiv.org/abs/2512.12982"/>
    <hyperlink ref="F57" r:id="rId56" display="https://arxiv.org/abs/2605.24906"/>
    <hyperlink ref="F58" r:id="rId57" display="https://openaccess.thecvf.com/content/CVPR2026/html/Hu_SAIDO_Generalizable_Detection_of_AI-Generated_Images_via_Scene-Aware_and_Importance-Guided_CVPR_2026_paper.html"/>
    <hyperlink ref="F59" r:id="rId58" display="https://arxiv.org/abs/2404.04584"/>
    <hyperlink ref="F60" r:id="rId59" display="https://arxiv.org/abs/2403.14077"/>
    <hyperlink ref="F61" r:id="rId60" display="https://arxiv.org/abs/2404.13306"/>
    <hyperlink ref="F62" r:id="rId61" display="https://arxiv.org/abs/2410.09732"/>
    <hyperlink ref="F63" r:id="rId62" display="https://arxiv.org/abs/2410.02761"/>
    <hyperlink ref="F64" r:id="rId63" display="https://arxiv.org/abs/2412.04292"/>
    <hyperlink ref="F65" r:id="rId64" display="https://arxiv.org/abs/2503.14905"/>
    <hyperlink ref="F66" r:id="rId65" display="https://arxiv.org/abs/2503.15264"/>
    <hyperlink ref="F67" r:id="rId66" display="https://arxiv.org/abs/2507.02664"/>
    <hyperlink ref="F68" r:id="rId67" display="https://arxiv.org/abs/2505.18660"/>
    <hyperlink ref="F69" r:id="rId68" display="https://arxiv.org/abs/2509.19841"/>
    <hyperlink ref="F70" r:id="rId69" display="https://arxiv.org/abs/2603.17343"/>
    <hyperlink ref="F71" r:id="rId70" display="https://arxiv.org/abs/2605.16080"/>
    <hyperlink ref="F72" r:id="rId71" display="https://arxiv.org/abs/2603.28508"/>
    <hyperlink ref="F73" r:id="rId72" display="https://arxiv.org/abs/2402.00126"/>
    <hyperlink ref="F74" r:id="rId73" display="https://arxiv.org/abs/2311.17138"/>
    <hyperlink ref="F75" r:id="rId74" display="https://arxiv.org/abs/2206.14617"/>
    <hyperlink ref="F76" r:id="rId75" display="https://arxiv.org/abs/2207.13744"/>
    <hyperlink ref="F77" r:id="rId76" display="https://arxiv.org/abs/2304.06470"/>
    <hyperlink ref="F78" r:id="rId77" display="https://arxiv.org/abs/2512.13665"/>
    <hyperlink ref="F79" r:id="rId78" display="https://arxiv.org/abs/2306.08571"/>
    <hyperlink ref="F80" r:id="rId79" display="https://arxiv.org/abs/2303.14126"/>
    <hyperlink ref="F81" r:id="rId80" display="https://arxiv.org/abs/2304.13023"/>
    <hyperlink ref="F82" r:id="rId81" display="https://scholar.google.com/scholar?q=Synthbuster+Towards+Detection+of+Diffusion+Model+Generated+Images+Bammey"/>
    <hyperlink ref="F83" r:id="rId82" display="https://arxiv.org/abs/2505.12335"/>
    <hyperlink ref="F84" r:id="rId83" display="https://arxiv.org/abs/2509.09495"/>
    <hyperlink ref="F85" r:id="rId84" display="https://arxiv.org/abs/2504.20865"/>
    <hyperlink ref="F86" r:id="rId85" display="https://arxiv.org/abs/2411.07472"/>
    <hyperlink ref="F87" r:id="rId86" display="https://arxiv.org/abs/2407.20020"/>
    <hyperlink ref="F88" r:id="rId87" display="https://arxiv.org/abs/2406.09398"/>
    <hyperlink ref="F89" r:id="rId88" display="https://arxiv.org/abs/2310.15150"/>
    <hyperlink ref="F90" r:id="rId89" display="https://arxiv.org/abs/2407.15500"/>
    <hyperlink ref="F91" r:id="rId90" display="https://arxiv.org/abs/2506.03988"/>
    <hyperlink ref="F92" r:id="rId91" display="https://arxiv.org/abs/2004.00622"/>
    <hyperlink ref="F93" r:id="rId92" display="https://arxiv.org/abs/2304.11670"/>
    <hyperlink ref="F94" r:id="rId93" display="https://arxiv.org/abs/2310.00076"/>
    <hyperlink ref="F95" r:id="rId94" display="https://arxiv.org/abs/2410.01574"/>
    <hyperlink ref="F96" r:id="rId95" display="https://arxiv.org/abs/2407.20836"/>
    <hyperlink ref="F97" r:id="rId96" display="https://arxiv.org/abs/2608.16646"/>
    <hyperlink ref="F98" r:id="rId97" display="https://arxiv.org/abs/1706.06083"/>
    <hyperlink ref="F99" r:id="rId98" display="https://arxiv.org/abs/1901.08573"/>
    <hyperlink ref="F100" r:id="rId99" display="https://arxiv.org/abs/2305.20030"/>
    <hyperlink ref="F101" r:id="rId100" display="https://arxiv.org/abs/2303.1543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10"/>
  </cols>
  <sheetData>
    <row r="1" customFormat="false" ht="15" hidden="false" customHeight="false" outlineLevel="0" collapsed="false">
      <c r="A1" s="8" t="s">
        <v>6</v>
      </c>
      <c r="B1" s="8" t="s">
        <v>1118</v>
      </c>
      <c r="C1" s="8" t="s">
        <v>1119</v>
      </c>
    </row>
    <row r="2" customFormat="false" ht="15" hidden="false" customHeight="false" outlineLevel="0" collapsed="false">
      <c r="A2" s="9" t="s">
        <v>827</v>
      </c>
      <c r="B2" s="9" t="n">
        <f aca="false">COUNTIF('Paper Review'!$G$2:$G$101,A2)</f>
        <v>5</v>
      </c>
      <c r="C2" s="10" t="n">
        <f aca="false">B2/$B$11</f>
        <v>0.05</v>
      </c>
    </row>
    <row r="3" customFormat="false" ht="15" hidden="false" customHeight="false" outlineLevel="0" collapsed="false">
      <c r="A3" s="9" t="s">
        <v>1007</v>
      </c>
      <c r="B3" s="9" t="n">
        <f aca="false">COUNTIF('Paper Review'!$G$2:$G$101,A3)</f>
        <v>9</v>
      </c>
      <c r="C3" s="10" t="n">
        <f aca="false">B3/$B$11</f>
        <v>0.09</v>
      </c>
    </row>
    <row r="4" customFormat="false" ht="15" hidden="false" customHeight="false" outlineLevel="0" collapsed="false">
      <c r="A4" s="9" t="s">
        <v>252</v>
      </c>
      <c r="B4" s="9" t="n">
        <f aca="false">COUNTIF('Paper Review'!$G$2:$G$101,A4)</f>
        <v>6</v>
      </c>
      <c r="C4" s="10" t="n">
        <f aca="false">B4/$B$11</f>
        <v>0.06</v>
      </c>
    </row>
    <row r="5" customFormat="false" ht="15" hidden="false" customHeight="false" outlineLevel="0" collapsed="false">
      <c r="A5" s="9" t="s">
        <v>193</v>
      </c>
      <c r="B5" s="9" t="n">
        <f aca="false">COUNTIF('Paper Review'!$G$2:$G$101,A5)</f>
        <v>14</v>
      </c>
      <c r="C5" s="10" t="n">
        <f aca="false">B5/$B$11</f>
        <v>0.14</v>
      </c>
    </row>
    <row r="6" customFormat="false" ht="15" hidden="false" customHeight="false" outlineLevel="0" collapsed="false">
      <c r="A6" s="9" t="s">
        <v>434</v>
      </c>
      <c r="B6" s="9" t="n">
        <f aca="false">COUNTIF('Paper Review'!$G$2:$G$101,A6)</f>
        <v>19</v>
      </c>
      <c r="C6" s="10" t="n">
        <f aca="false">B6/$B$11</f>
        <v>0.19</v>
      </c>
    </row>
    <row r="7" customFormat="false" ht="15" hidden="false" customHeight="false" outlineLevel="0" collapsed="false">
      <c r="A7" s="9" t="s">
        <v>19</v>
      </c>
      <c r="B7" s="9" t="n">
        <f aca="false">COUNTIF('Paper Review'!$G$2:$G$101,A7)</f>
        <v>19</v>
      </c>
      <c r="C7" s="10" t="n">
        <f aca="false">B7/$B$11</f>
        <v>0.19</v>
      </c>
    </row>
    <row r="8" customFormat="false" ht="15" hidden="false" customHeight="false" outlineLevel="0" collapsed="false">
      <c r="A8" s="9" t="s">
        <v>677</v>
      </c>
      <c r="B8" s="9" t="n">
        <f aca="false">COUNTIF('Paper Review'!$G$2:$G$101,A8)</f>
        <v>14</v>
      </c>
      <c r="C8" s="10" t="n">
        <f aca="false">B8/$B$11</f>
        <v>0.14</v>
      </c>
    </row>
    <row r="9" customFormat="false" ht="15" hidden="false" customHeight="false" outlineLevel="0" collapsed="false">
      <c r="A9" s="9" t="s">
        <v>1101</v>
      </c>
      <c r="B9" s="9" t="n">
        <f aca="false">COUNTIF('Paper Review'!$G$2:$G$101,A9)</f>
        <v>2</v>
      </c>
      <c r="C9" s="10" t="n">
        <f aca="false">B9/$B$11</f>
        <v>0.02</v>
      </c>
    </row>
    <row r="10" customFormat="false" ht="15" hidden="false" customHeight="false" outlineLevel="0" collapsed="false">
      <c r="A10" s="9" t="s">
        <v>288</v>
      </c>
      <c r="B10" s="9" t="n">
        <f aca="false">COUNTIF('Paper Review'!$G$2:$G$101,A10)</f>
        <v>12</v>
      </c>
      <c r="C10" s="10" t="n">
        <f aca="false">B10/$B$11</f>
        <v>0.12</v>
      </c>
    </row>
    <row r="11" customFormat="false" ht="15" hidden="false" customHeight="false" outlineLevel="0" collapsed="false">
      <c r="A11" s="8" t="s">
        <v>1120</v>
      </c>
      <c r="B11" s="9" t="n">
        <f aca="false">SUM(B2:B10)</f>
        <v>100</v>
      </c>
      <c r="C11" s="10" t="n">
        <f aca="false">SUM(C2:C10)</f>
        <v>1</v>
      </c>
    </row>
    <row r="12" customFormat="false" ht="15" hidden="false" customHeight="false" outlineLevel="0" collapsed="false">
      <c r="A12" s="9"/>
      <c r="B12" s="9"/>
      <c r="C12" s="9"/>
    </row>
    <row r="13" customFormat="false" ht="15" hidden="false" customHeight="false" outlineLevel="0" collapsed="false">
      <c r="A13" s="8" t="s">
        <v>3</v>
      </c>
      <c r="B13" s="8" t="s">
        <v>1118</v>
      </c>
      <c r="C13" s="9"/>
    </row>
    <row r="14" customFormat="false" ht="15" hidden="false" customHeight="false" outlineLevel="0" collapsed="false">
      <c r="A14" s="9" t="s">
        <v>1121</v>
      </c>
      <c r="B14" s="9" t="n">
        <f aca="false">COUNTIF('Paper Review'!$D$2:$D$101,2018)</f>
        <v>1</v>
      </c>
      <c r="C14" s="9"/>
    </row>
    <row r="15" customFormat="false" ht="15" hidden="false" customHeight="false" outlineLevel="0" collapsed="false">
      <c r="A15" s="9" t="s">
        <v>1122</v>
      </c>
      <c r="B15" s="9" t="n">
        <f aca="false">COUNTIF('Paper Review'!$D$2:$D$101,2019)</f>
        <v>3</v>
      </c>
      <c r="C15" s="9"/>
    </row>
    <row r="16" customFormat="false" ht="15" hidden="false" customHeight="false" outlineLevel="0" collapsed="false">
      <c r="A16" s="9" t="s">
        <v>1123</v>
      </c>
      <c r="B16" s="9" t="n">
        <f aca="false">COUNTIF('Paper Review'!$D$2:$D$101,2020)</f>
        <v>5</v>
      </c>
      <c r="C16" s="9"/>
    </row>
    <row r="17" customFormat="false" ht="15" hidden="false" customHeight="false" outlineLevel="0" collapsed="false">
      <c r="A17" s="9" t="s">
        <v>1124</v>
      </c>
      <c r="B17" s="9" t="n">
        <f aca="false">COUNTIF('Paper Review'!$D$2:$D$101,2021)</f>
        <v>1</v>
      </c>
      <c r="C17" s="9"/>
    </row>
    <row r="18" customFormat="false" ht="15" hidden="false" customHeight="false" outlineLevel="0" collapsed="false">
      <c r="A18" s="9" t="s">
        <v>1125</v>
      </c>
      <c r="B18" s="9" t="n">
        <f aca="false">COUNTIF('Paper Review'!$D$2:$D$101,2022)</f>
        <v>3</v>
      </c>
      <c r="C18" s="9"/>
    </row>
    <row r="19" customFormat="false" ht="15" hidden="false" customHeight="false" outlineLevel="0" collapsed="false">
      <c r="A19" s="9" t="s">
        <v>1126</v>
      </c>
      <c r="B19" s="9" t="n">
        <f aca="false">COUNTIF('Paper Review'!$D$2:$D$101,2023)</f>
        <v>17</v>
      </c>
      <c r="C19" s="9"/>
    </row>
    <row r="20" customFormat="false" ht="15" hidden="false" customHeight="false" outlineLevel="0" collapsed="false">
      <c r="A20" s="9" t="s">
        <v>1127</v>
      </c>
      <c r="B20" s="9" t="n">
        <f aca="false">COUNTIF('Paper Review'!$D$2:$D$101,2024)</f>
        <v>28</v>
      </c>
      <c r="C20" s="9"/>
    </row>
    <row r="21" customFormat="false" ht="15" hidden="false" customHeight="false" outlineLevel="0" collapsed="false">
      <c r="A21" s="9" t="s">
        <v>1128</v>
      </c>
      <c r="B21" s="9" t="n">
        <f aca="false">COUNTIF('Paper Review'!$D$2:$D$101,2025)</f>
        <v>31</v>
      </c>
      <c r="C21" s="9"/>
    </row>
    <row r="22" customFormat="false" ht="15" hidden="false" customHeight="false" outlineLevel="0" collapsed="false">
      <c r="A22" s="9" t="s">
        <v>1129</v>
      </c>
      <c r="B22" s="9" t="n">
        <f aca="false">COUNTIF('Paper Review'!$D$2:$D$101,2026)</f>
        <v>11</v>
      </c>
      <c r="C2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1" t="s">
        <v>1130</v>
      </c>
    </row>
    <row r="2" customFormat="false" ht="23.85" hidden="false" customHeight="false" outlineLevel="0" collapsed="false">
      <c r="A2" s="12" t="s">
        <v>1131</v>
      </c>
    </row>
    <row r="3" customFormat="false" ht="15" hidden="false" customHeight="false" outlineLevel="0" collapsed="false">
      <c r="A3" s="12" t="s">
        <v>1132</v>
      </c>
    </row>
    <row r="4" customFormat="false" ht="15" hidden="false" customHeight="false" outlineLevel="0" collapsed="false">
      <c r="A4" s="12" t="s">
        <v>1133</v>
      </c>
    </row>
    <row r="5" customFormat="false" ht="23.85" hidden="false" customHeight="false" outlineLevel="0" collapsed="false">
      <c r="A5" s="12" t="s">
        <v>1134</v>
      </c>
    </row>
    <row r="6" customFormat="false" ht="15" hidden="false" customHeight="false" outlineLevel="0" collapsed="false">
      <c r="A6" s="12" t="s">
        <v>1135</v>
      </c>
    </row>
    <row r="7" customFormat="false" ht="15" hidden="false" customHeight="false" outlineLevel="0" collapsed="false">
      <c r="A7" s="12" t="s">
        <v>1136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2026-10-11T09:32:18Z</dcterms:created>
  <dc:creator>openpyxl</dc:creator>
  <dc:description/>
  <dc:language>en-US</dc:language>
  <cp:lastModifiedBy/>
  <dcterms:modified xsi:type="dcterms:W3CDTF">2026-10-11T09:32:18Z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